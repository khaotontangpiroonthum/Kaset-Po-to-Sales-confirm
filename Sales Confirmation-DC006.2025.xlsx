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https://northeastern-my.sharepoint.com/personal/tangpiroonthum_k_northeastern_edu/Documents/Thai Ha customer/Old customer/DE CARE GROUP SP. Z O.O/"/>
    </mc:Choice>
  </mc:AlternateContent>
  <xr:revisionPtr revIDLastSave="12" documentId="8_{CCB9FE5E-A311-4356-A61F-7316E1725FAD}" xr6:coauthVersionLast="47" xr6:coauthVersionMax="47" xr10:uidLastSave="{DEB80B38-FF9C-4747-A917-3B8A47417354}"/>
  <bookViews>
    <workbookView xWindow="-110" yWindow="-110" windowWidth="19420" windowHeight="10300" xr2:uid="{D9D97B84-4314-45CD-931C-6B159C93A0C6}"/>
  </bookViews>
  <sheets>
    <sheet name="DC006-2025" sheetId="118" r:id="rId1"/>
  </sheets>
  <definedNames>
    <definedName name="_xlnm.Print_Area" localSheetId="0">'DC006-2025'!$A$1:$K$34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9" i="118" l="1"/>
  <c r="F20" i="118"/>
  <c r="I18" i="118"/>
  <c r="I20" i="118"/>
</calcChain>
</file>

<file path=xl/sharedStrings.xml><?xml version="1.0" encoding="utf-8"?>
<sst xmlns="http://schemas.openxmlformats.org/spreadsheetml/2006/main" count="76" uniqueCount="69">
  <si>
    <t>THAI  HA PUBLIC COMPANY LIMITED</t>
  </si>
  <si>
    <t>140 MOO 5 T.BANGKRATUEK, A.SAMPHRAN NAKORNPATHOM 73210, THAILAND</t>
  </si>
  <si>
    <t>To</t>
  </si>
  <si>
    <t>From</t>
  </si>
  <si>
    <t>: Thai Ha Public Company Limited</t>
  </si>
  <si>
    <t>Attn</t>
  </si>
  <si>
    <t>Phone</t>
  </si>
  <si>
    <t>Fax</t>
  </si>
  <si>
    <t>: +66-34-288-415</t>
  </si>
  <si>
    <t>Date</t>
  </si>
  <si>
    <t>Ref. No.</t>
  </si>
  <si>
    <t>PO No.</t>
  </si>
  <si>
    <t>Page: 1-1</t>
  </si>
  <si>
    <t>Packaging</t>
  </si>
  <si>
    <t>Description</t>
  </si>
  <si>
    <t>Quantity</t>
  </si>
  <si>
    <t>Price/Unit</t>
  </si>
  <si>
    <t>Total</t>
  </si>
  <si>
    <t>Remarks</t>
  </si>
  <si>
    <t>(USD)</t>
  </si>
  <si>
    <t xml:space="preserve"> </t>
  </si>
  <si>
    <t>MT</t>
  </si>
  <si>
    <t>CBM</t>
  </si>
  <si>
    <t>GW</t>
  </si>
  <si>
    <t>Grand Total</t>
  </si>
  <si>
    <t>Remark:</t>
  </si>
  <si>
    <t>Shipping Line:</t>
  </si>
  <si>
    <t>TO BE ADVISED</t>
  </si>
  <si>
    <t>Payment:</t>
  </si>
  <si>
    <t xml:space="preserve">Ship To: </t>
  </si>
  <si>
    <t>Place of Delivery:</t>
  </si>
  <si>
    <t>Port of Discharge:</t>
  </si>
  <si>
    <t>(Seller's Signature)</t>
  </si>
  <si>
    <t>(Buyer's Signature)</t>
  </si>
  <si>
    <t>: +48-22-865-56-65</t>
  </si>
  <si>
    <t>: +48-22-835-61-17</t>
  </si>
  <si>
    <t>1kg x 20 ll bags</t>
  </si>
  <si>
    <t>CO-LOAD: TO BE ADVISED</t>
  </si>
  <si>
    <t xml:space="preserve">  This Price is FOB</t>
  </si>
  <si>
    <t>BANGKOK, THAILAND</t>
  </si>
  <si>
    <t>: DE CARE GROUP SP. Z O.O.</t>
  </si>
  <si>
    <t>DE CARE GROUP SP. Z O.O.</t>
  </si>
  <si>
    <t xml:space="preserve">I  WSPOLNICY SPOLKA KOMANDYTOWA
</t>
  </si>
  <si>
    <t xml:space="preserve">PIENKOW 147A, 05-152 CZOSNOW
</t>
  </si>
  <si>
    <t>VAT NO.: 118-00-32-372</t>
  </si>
  <si>
    <t>Sales Confirmation</t>
  </si>
  <si>
    <t>Cartons</t>
  </si>
  <si>
    <t>BLONIE, POLAND</t>
  </si>
  <si>
    <t>" SMART CHEF BRAND "</t>
  </si>
  <si>
    <t>:100% T/T 45 Days After B/L Date</t>
  </si>
  <si>
    <t>: +662-482-1662-4, 066-1159381</t>
  </si>
  <si>
    <t>Account :</t>
  </si>
  <si>
    <t xml:space="preserve"> The Siam Commercial Bank PCL.</t>
  </si>
  <si>
    <t>Sam Phran District, Nakhorn Pathom 73210 Thailand</t>
  </si>
  <si>
    <t>Account Number: 401-000404-9-840</t>
  </si>
  <si>
    <t>Account Name   : Thai Ha Public Company Limited.</t>
  </si>
  <si>
    <t xml:space="preserve">Beneficiary's Name: Thai Ha Public Company Limited </t>
  </si>
  <si>
    <t>SWIFT Code : SICOTHBK</t>
  </si>
  <si>
    <t>: MR.Michal Marciniak</t>
  </si>
  <si>
    <t xml:space="preserve">Thai Hommali Rice </t>
  </si>
  <si>
    <t>10,000 ll bags</t>
  </si>
  <si>
    <r>
      <t>:</t>
    </r>
    <r>
      <rPr>
        <b/>
        <sz val="16"/>
        <rFont val="Cordia New"/>
        <family val="2"/>
      </rPr>
      <t xml:space="preserve"> DC006/2025</t>
    </r>
  </si>
  <si>
    <t>:November 19, 2025</t>
  </si>
  <si>
    <t>Kris 19/11/2025</t>
  </si>
  <si>
    <t>: ZZ/1/25/001059</t>
  </si>
  <si>
    <t>20' x 1 Container, ETD within December 2025</t>
  </si>
  <si>
    <t xml:space="preserve">   Mr.Kris Tangpiroonthum</t>
  </si>
  <si>
    <t>Central Salaya Branch</t>
  </si>
  <si>
    <t>Address: 3rd. FL. Central Salaya 99/19–20 Mu 2 Bangtoei Sub District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</si>
</sst>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8" formatCode="_-* #,##0.00_-;\-* #,##0.00_-;_-* &quot;-&quot;??_-;_-@_-"/>
    <numFmt numFmtId="169" formatCode="_-* #,##0_-;\-* #,##0_-;_-* &quot;-&quot;??_-;_-@_-"/>
    <numFmt numFmtId="170" formatCode="_-* #,##0.0000_-;\-* #,##0.0000_-;_-* &quot;-&quot;??_-;_-@_-"/>
    <numFmt numFmtId="173" formatCode="_-* #,##0.000_-;\-* #,##0.000_-;_-* &quot;-&quot;??_-;_-@_-"/>
  </numFmts>
  <fonts count="16" x14ac:knownFonts="1">
    <font>
      <sz val="14"/>
      <name val="Cordia New"/>
      <charset val="222"/>
    </font>
    <font>
      <sz val="14"/>
      <name val="Cordia New"/>
      <family val="2"/>
    </font>
    <font>
      <sz val="10"/>
      <name val="Arial"/>
      <family val="2"/>
    </font>
    <font>
      <sz val="14"/>
      <name val="Cordia New"/>
      <family val="2"/>
    </font>
    <font>
      <sz val="14"/>
      <name val="AngsanaUPC"/>
      <family val="1"/>
      <charset val="222"/>
    </font>
    <font>
      <b/>
      <sz val="20"/>
      <name val="Cordia New"/>
      <family val="2"/>
    </font>
    <font>
      <sz val="16"/>
      <name val="Cordia New"/>
      <family val="2"/>
    </font>
    <font>
      <b/>
      <sz val="16"/>
      <name val="Cordia New"/>
      <family val="2"/>
    </font>
    <font>
      <b/>
      <i/>
      <u/>
      <sz val="16"/>
      <name val="Cordia New"/>
      <family val="2"/>
    </font>
    <font>
      <b/>
      <sz val="28"/>
      <name val="Cordia New"/>
      <family val="2"/>
    </font>
    <font>
      <b/>
      <u/>
      <sz val="18"/>
      <name val="AngsanaUPC"/>
      <family val="1"/>
      <charset val="222"/>
    </font>
    <font>
      <sz val="16"/>
      <name val="AngsanaUPC"/>
      <family val="1"/>
      <charset val="222"/>
    </font>
    <font>
      <sz val="18"/>
      <name val="AngsanaUPC"/>
      <family val="1"/>
      <charset val="222"/>
    </font>
    <font>
      <b/>
      <sz val="16"/>
      <color rgb="FFFF0000"/>
      <name val="Cordia New"/>
      <family val="2"/>
    </font>
    <font>
      <b/>
      <sz val="14"/>
      <color rgb="FF002060"/>
      <name val="Monotype Corsiva"/>
      <family val="4"/>
    </font>
    <font>
      <b/>
      <sz val="24"/>
      <color rgb="FF002060"/>
      <name val="Freestyle Script"/>
      <family val="4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168" fontId="3" fillId="0" borderId="0" applyFont="0" applyFill="0" applyBorder="0" applyAlignment="0" applyProtection="0"/>
    <xf numFmtId="0" fontId="2" fillId="0" borderId="0"/>
  </cellStyleXfs>
  <cellXfs count="76">
    <xf numFmtId="0" fontId="0" fillId="0" borderId="0" xfId="0"/>
    <xf numFmtId="0" fontId="4" fillId="0" borderId="0" xfId="0" applyFont="1"/>
    <xf numFmtId="0" fontId="7" fillId="0" borderId="0" xfId="0" applyFont="1" applyFill="1" applyAlignment="1">
      <alignment vertical="center"/>
    </xf>
    <xf numFmtId="0" fontId="6" fillId="0" borderId="0" xfId="0" applyFont="1" applyFill="1" applyAlignment="1">
      <alignment vertical="center"/>
    </xf>
    <xf numFmtId="0" fontId="6" fillId="0" borderId="0" xfId="0" applyFont="1" applyAlignment="1">
      <alignment vertical="center"/>
    </xf>
    <xf numFmtId="0" fontId="6" fillId="0" borderId="0" xfId="2" applyFont="1" applyFill="1" applyAlignment="1">
      <alignment vertical="center"/>
    </xf>
    <xf numFmtId="15" fontId="6" fillId="0" borderId="0" xfId="0" applyNumberFormat="1" applyFont="1" applyAlignment="1">
      <alignment vertical="center"/>
    </xf>
    <xf numFmtId="0" fontId="6" fillId="0" borderId="0" xfId="0" applyFont="1" applyBorder="1" applyAlignment="1">
      <alignment vertical="center"/>
    </xf>
    <xf numFmtId="0" fontId="6" fillId="0" borderId="0" xfId="2" applyFont="1" applyAlignment="1">
      <alignment vertical="center"/>
    </xf>
    <xf numFmtId="0" fontId="6" fillId="0" borderId="0" xfId="0" applyFont="1" applyFill="1" applyBorder="1" applyAlignment="1">
      <alignment vertical="center"/>
    </xf>
    <xf numFmtId="0" fontId="13" fillId="0" borderId="0" xfId="0" applyFont="1" applyAlignment="1">
      <alignment vertical="center"/>
    </xf>
    <xf numFmtId="49" fontId="6" fillId="0" borderId="0" xfId="0" applyNumberFormat="1" applyFont="1" applyAlignment="1">
      <alignment vertical="center"/>
    </xf>
    <xf numFmtId="0" fontId="7" fillId="0" borderId="1" xfId="0" applyFont="1" applyBorder="1" applyAlignment="1">
      <alignment horizontal="centerContinuous" vertical="center"/>
    </xf>
    <xf numFmtId="0" fontId="7" fillId="0" borderId="2" xfId="0" applyFont="1" applyBorder="1" applyAlignment="1">
      <alignment horizontal="centerContinuous" vertical="center"/>
    </xf>
    <xf numFmtId="0" fontId="7" fillId="0" borderId="3" xfId="0" applyFont="1" applyBorder="1" applyAlignment="1">
      <alignment horizontal="centerContinuous" vertical="center"/>
    </xf>
    <xf numFmtId="0" fontId="7" fillId="0" borderId="4" xfId="0" applyFont="1" applyBorder="1" applyAlignment="1">
      <alignment horizontal="centerContinuous" vertical="center"/>
    </xf>
    <xf numFmtId="0" fontId="7" fillId="0" borderId="5" xfId="0" applyFont="1" applyBorder="1" applyAlignment="1">
      <alignment horizontal="centerContinuous" vertical="center"/>
    </xf>
    <xf numFmtId="0" fontId="7" fillId="0" borderId="4" xfId="0" applyFont="1" applyBorder="1" applyAlignment="1">
      <alignment vertical="center"/>
    </xf>
    <xf numFmtId="0" fontId="7" fillId="0" borderId="6" xfId="0" applyFont="1" applyBorder="1" applyAlignment="1">
      <alignment horizontal="centerContinuous" vertical="center"/>
    </xf>
    <xf numFmtId="0" fontId="7" fillId="0" borderId="7" xfId="0" applyFont="1" applyBorder="1" applyAlignment="1">
      <alignment horizontal="centerContinuous" vertical="center"/>
    </xf>
    <xf numFmtId="0" fontId="6" fillId="2" borderId="0" xfId="0" applyFont="1" applyFill="1" applyAlignment="1">
      <alignment vertical="center"/>
    </xf>
    <xf numFmtId="0" fontId="7" fillId="0" borderId="8" xfId="0" applyFont="1" applyBorder="1" applyAlignment="1">
      <alignment horizontal="centerContinuous" vertical="center"/>
    </xf>
    <xf numFmtId="0" fontId="7" fillId="0" borderId="9" xfId="0" applyFont="1" applyBorder="1" applyAlignment="1">
      <alignment horizontal="centerContinuous" vertical="center"/>
    </xf>
    <xf numFmtId="0" fontId="8" fillId="0" borderId="1" xfId="0" applyFont="1" applyBorder="1" applyAlignment="1">
      <alignment vertical="center"/>
    </xf>
    <xf numFmtId="0" fontId="7" fillId="0" borderId="0" xfId="0" applyFont="1" applyBorder="1" applyAlignment="1">
      <alignment horizontal="centerContinuous" vertical="center"/>
    </xf>
    <xf numFmtId="0" fontId="7" fillId="0" borderId="10" xfId="0" applyFont="1" applyBorder="1" applyAlignment="1">
      <alignment horizontal="centerContinuous" vertical="center"/>
    </xf>
    <xf numFmtId="0" fontId="6" fillId="0" borderId="9" xfId="0" applyFont="1" applyBorder="1" applyAlignment="1">
      <alignment horizontal="center" vertical="center"/>
    </xf>
    <xf numFmtId="0" fontId="6" fillId="0" borderId="9" xfId="0" applyFont="1" applyBorder="1" applyAlignment="1">
      <alignment vertical="center"/>
    </xf>
    <xf numFmtId="169" fontId="6" fillId="0" borderId="8" xfId="1" applyNumberFormat="1" applyFont="1" applyBorder="1" applyAlignment="1">
      <alignment horizontal="left" vertical="center"/>
    </xf>
    <xf numFmtId="168" fontId="6" fillId="0" borderId="10" xfId="1" applyNumberFormat="1" applyFont="1" applyFill="1" applyBorder="1" applyAlignment="1">
      <alignment horizontal="left" vertical="center"/>
    </xf>
    <xf numFmtId="0" fontId="6" fillId="0" borderId="5" xfId="0" applyFont="1" applyBorder="1" applyAlignment="1">
      <alignment horizontal="center" vertical="center"/>
    </xf>
    <xf numFmtId="0" fontId="6" fillId="0" borderId="4" xfId="0" applyFont="1" applyFill="1" applyBorder="1" applyAlignment="1">
      <alignment horizontal="left" vertical="center"/>
    </xf>
    <xf numFmtId="0" fontId="6" fillId="0" borderId="6" xfId="0" applyFont="1" applyBorder="1" applyAlignment="1">
      <alignment vertical="center"/>
    </xf>
    <xf numFmtId="0" fontId="6" fillId="0" borderId="5" xfId="0" applyFont="1" applyBorder="1" applyAlignment="1">
      <alignment vertical="center"/>
    </xf>
    <xf numFmtId="170" fontId="6" fillId="0" borderId="4" xfId="1" applyNumberFormat="1" applyFont="1" applyFill="1" applyBorder="1" applyAlignment="1">
      <alignment horizontal="left" vertical="center"/>
    </xf>
    <xf numFmtId="168" fontId="6" fillId="0" borderId="7" xfId="1" applyNumberFormat="1" applyFont="1" applyBorder="1" applyAlignment="1">
      <alignment horizontal="left" vertical="center"/>
    </xf>
    <xf numFmtId="0" fontId="6" fillId="0" borderId="8" xfId="0" applyFont="1" applyBorder="1" applyAlignment="1">
      <alignment vertical="center"/>
    </xf>
    <xf numFmtId="0" fontId="6" fillId="0" borderId="4" xfId="0" applyFont="1" applyBorder="1" applyAlignment="1">
      <alignment vertical="center"/>
    </xf>
    <xf numFmtId="0" fontId="7" fillId="0" borderId="0" xfId="0" applyFont="1" applyAlignment="1">
      <alignment vertical="center"/>
    </xf>
    <xf numFmtId="0" fontId="6" fillId="0" borderId="0" xfId="0" applyFont="1" applyAlignment="1">
      <alignment horizontal="centerContinuous" vertical="center"/>
    </xf>
    <xf numFmtId="0" fontId="6" fillId="0" borderId="0" xfId="0" applyFont="1" applyAlignment="1">
      <alignment vertical="center" wrapText="1"/>
    </xf>
    <xf numFmtId="0" fontId="9" fillId="0" borderId="0" xfId="0" applyFont="1" applyAlignment="1">
      <alignment horizontal="center" vertical="center"/>
    </xf>
    <xf numFmtId="0" fontId="7" fillId="0" borderId="0" xfId="0" applyFont="1" applyBorder="1" applyAlignment="1">
      <alignment vertical="center"/>
    </xf>
    <xf numFmtId="0" fontId="7" fillId="3" borderId="11" xfId="0" applyFont="1" applyFill="1" applyBorder="1" applyAlignment="1">
      <alignment horizontal="center" vertical="center"/>
    </xf>
    <xf numFmtId="0" fontId="7" fillId="3" borderId="12" xfId="0" applyFont="1" applyFill="1" applyBorder="1" applyAlignment="1">
      <alignment horizontal="center" vertical="center"/>
    </xf>
    <xf numFmtId="173" fontId="7" fillId="3" borderId="13" xfId="0" applyNumberFormat="1" applyFont="1" applyFill="1" applyBorder="1" applyAlignment="1">
      <alignment vertical="center"/>
    </xf>
    <xf numFmtId="43" fontId="7" fillId="3" borderId="13" xfId="0" applyNumberFormat="1" applyFont="1" applyFill="1" applyBorder="1" applyAlignment="1">
      <alignment vertical="center"/>
    </xf>
    <xf numFmtId="0" fontId="6" fillId="0" borderId="0" xfId="0" applyFont="1" applyAlignment="1"/>
    <xf numFmtId="0" fontId="7" fillId="0" borderId="0" xfId="0" applyFont="1" applyAlignment="1"/>
    <xf numFmtId="43" fontId="6" fillId="0" borderId="10" xfId="1" applyNumberFormat="1" applyFont="1" applyFill="1" applyBorder="1" applyAlignment="1">
      <alignment horizontal="left" vertical="center"/>
    </xf>
    <xf numFmtId="43" fontId="6" fillId="0" borderId="7" xfId="1" applyNumberFormat="1" applyFont="1" applyFill="1" applyBorder="1" applyAlignment="1">
      <alignment horizontal="left" vertical="center"/>
    </xf>
    <xf numFmtId="0" fontId="6" fillId="0" borderId="0" xfId="0" applyFont="1" applyFill="1" applyBorder="1" applyAlignment="1">
      <alignment horizontal="center" vertical="center"/>
    </xf>
    <xf numFmtId="173" fontId="7" fillId="0" borderId="0" xfId="0" applyNumberFormat="1" applyFont="1" applyFill="1" applyBorder="1" applyAlignment="1">
      <alignment vertical="center"/>
    </xf>
    <xf numFmtId="0" fontId="7" fillId="0" borderId="0" xfId="0" applyFont="1" applyFill="1" applyBorder="1" applyAlignment="1">
      <alignment horizontal="center" vertical="center"/>
    </xf>
    <xf numFmtId="43" fontId="7" fillId="0" borderId="0" xfId="0" applyNumberFormat="1" applyFont="1" applyFill="1" applyBorder="1" applyAlignment="1">
      <alignment vertical="center"/>
    </xf>
    <xf numFmtId="0" fontId="10" fillId="0" borderId="0" xfId="0" applyFont="1"/>
    <xf numFmtId="0" fontId="11" fillId="0" borderId="0" xfId="0" applyFont="1"/>
    <xf numFmtId="0" fontId="12" fillId="0" borderId="0" xfId="0" applyFont="1"/>
    <xf numFmtId="0" fontId="1" fillId="0" borderId="8" xfId="0" applyFont="1" applyBorder="1" applyAlignment="1">
      <alignment horizontal="left" vertical="center"/>
    </xf>
    <xf numFmtId="0" fontId="6" fillId="0" borderId="4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14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14" fillId="0" borderId="6" xfId="0" applyFont="1" applyBorder="1" applyAlignment="1">
      <alignment horizontal="center" vertical="center"/>
    </xf>
    <xf numFmtId="0" fontId="15" fillId="0" borderId="6" xfId="0" applyFont="1" applyBorder="1" applyAlignment="1">
      <alignment horizontal="center" vertical="center"/>
    </xf>
    <xf numFmtId="0" fontId="6" fillId="3" borderId="15" xfId="0" applyFont="1" applyFill="1" applyBorder="1" applyAlignment="1">
      <alignment horizontal="center" vertical="center"/>
    </xf>
    <xf numFmtId="0" fontId="6" fillId="3" borderId="16" xfId="0" applyFont="1" applyFill="1" applyBorder="1" applyAlignment="1">
      <alignment horizontal="center" vertical="center"/>
    </xf>
    <xf numFmtId="0" fontId="6" fillId="3" borderId="17" xfId="0" applyFont="1" applyFill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</cellXfs>
  <cellStyles count="3">
    <cellStyle name="Comma" xfId="1" builtinId="3"/>
    <cellStyle name="Normal" xfId="0" builtinId="0"/>
    <cellStyle name="ปกติ_EI001_2008(1)" xfId="2" xr:uid="{516B90FA-2D59-4094-AB4A-205E1BB92A8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152400</xdr:colOff>
      <xdr:row>2</xdr:row>
      <xdr:rowOff>6350</xdr:rowOff>
    </xdr:from>
    <xdr:to>
      <xdr:col>6</xdr:col>
      <xdr:colOff>292100</xdr:colOff>
      <xdr:row>5</xdr:row>
      <xdr:rowOff>31750</xdr:rowOff>
    </xdr:to>
    <xdr:pic>
      <xdr:nvPicPr>
        <xdr:cNvPr id="1150" name="Picture 1">
          <a:extLst>
            <a:ext uri="{FF2B5EF4-FFF2-40B4-BE49-F238E27FC236}">
              <a16:creationId xmlns:a16="http://schemas.microsoft.com/office/drawing/2014/main" id="{A22F0F9F-BB02-EA76-9963-B6D13CC942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02000" y="482600"/>
          <a:ext cx="781050" cy="749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F8E01D-469C-4DE3-BFA1-3224F9ED00C4}">
  <dimension ref="A1:S39"/>
  <sheetViews>
    <sheetView tabSelected="1" workbookViewId="0">
      <selection activeCell="R22" sqref="R22"/>
    </sheetView>
  </sheetViews>
  <sheetFormatPr defaultColWidth="9.09765625" defaultRowHeight="20.149999999999999" customHeight="1" x14ac:dyDescent="0.75"/>
  <cols>
    <col min="1" max="1" width="9" style="4" customWidth="1"/>
    <col min="2" max="2" width="8.09765625" style="4" customWidth="1"/>
    <col min="3" max="4" width="9.09765625" style="4"/>
    <col min="5" max="5" width="14.296875" style="4" customWidth="1"/>
    <col min="6" max="6" width="10.09765625" style="4" customWidth="1"/>
    <col min="7" max="7" width="9" style="4" customWidth="1"/>
    <col min="8" max="8" width="12.296875" style="4" customWidth="1"/>
    <col min="9" max="9" width="12.09765625" style="4" customWidth="1"/>
    <col min="10" max="10" width="10" style="4" customWidth="1"/>
    <col min="11" max="11" width="10.8984375" style="4" customWidth="1"/>
    <col min="12" max="12" width="9.09765625" style="4"/>
    <col min="13" max="16" width="0" style="4" hidden="1" customWidth="1"/>
    <col min="17" max="16384" width="9.09765625" style="4"/>
  </cols>
  <sheetData>
    <row r="1" spans="1:19" ht="19.5" customHeight="1" x14ac:dyDescent="0.75">
      <c r="A1" s="62" t="s">
        <v>0</v>
      </c>
      <c r="B1" s="62"/>
      <c r="C1" s="62"/>
      <c r="D1" s="62"/>
      <c r="E1" s="62"/>
      <c r="F1" s="62"/>
      <c r="G1" s="62"/>
      <c r="H1" s="62"/>
      <c r="I1" s="62"/>
      <c r="J1" s="62"/>
      <c r="K1" s="62"/>
    </row>
    <row r="2" spans="1:19" ht="18" customHeight="1" x14ac:dyDescent="0.75">
      <c r="A2" s="63" t="s">
        <v>1</v>
      </c>
      <c r="B2" s="63"/>
      <c r="C2" s="63"/>
      <c r="D2" s="63"/>
      <c r="E2" s="63"/>
      <c r="F2" s="63"/>
      <c r="G2" s="63"/>
      <c r="H2" s="63"/>
      <c r="I2" s="63"/>
      <c r="J2" s="63"/>
      <c r="K2" s="63"/>
    </row>
    <row r="3" spans="1:19" ht="19" customHeight="1" x14ac:dyDescent="0.75"/>
    <row r="4" spans="1:19" ht="19" customHeight="1" x14ac:dyDescent="0.75"/>
    <row r="5" spans="1:19" ht="19" customHeight="1" x14ac:dyDescent="0.75"/>
    <row r="6" spans="1:19" ht="22.5" customHeight="1" x14ac:dyDescent="0.75">
      <c r="A6" s="64" t="s">
        <v>45</v>
      </c>
      <c r="B6" s="64"/>
      <c r="C6" s="64"/>
      <c r="D6" s="64"/>
      <c r="E6" s="64"/>
      <c r="F6" s="64"/>
      <c r="G6" s="64"/>
      <c r="H6" s="64"/>
      <c r="I6" s="64"/>
      <c r="J6" s="64"/>
      <c r="K6" s="64"/>
    </row>
    <row r="7" spans="1:19" ht="10.5" customHeight="1" x14ac:dyDescent="0.75">
      <c r="A7" s="41"/>
      <c r="B7" s="41"/>
      <c r="C7" s="41"/>
      <c r="D7" s="41"/>
      <c r="E7" s="41"/>
      <c r="F7" s="41"/>
      <c r="G7" s="41"/>
      <c r="H7" s="41"/>
      <c r="I7" s="41"/>
      <c r="J7" s="41"/>
      <c r="K7" s="41"/>
    </row>
    <row r="8" spans="1:19" ht="18" customHeight="1" x14ac:dyDescent="0.75">
      <c r="A8" s="38" t="s">
        <v>2</v>
      </c>
      <c r="B8" s="3" t="s">
        <v>40</v>
      </c>
      <c r="C8" s="3"/>
      <c r="D8" s="3"/>
      <c r="E8" s="3"/>
      <c r="H8" s="38" t="s">
        <v>3</v>
      </c>
      <c r="I8" s="4" t="s">
        <v>4</v>
      </c>
    </row>
    <row r="9" spans="1:19" ht="18" customHeight="1" x14ac:dyDescent="0.75">
      <c r="A9" s="38" t="s">
        <v>5</v>
      </c>
      <c r="B9" s="5" t="s">
        <v>58</v>
      </c>
      <c r="C9" s="3"/>
      <c r="D9" s="3"/>
      <c r="E9" s="3"/>
      <c r="H9" s="38"/>
      <c r="I9" s="4" t="s">
        <v>66</v>
      </c>
    </row>
    <row r="10" spans="1:19" ht="18" customHeight="1" x14ac:dyDescent="0.75">
      <c r="A10" s="38" t="s">
        <v>6</v>
      </c>
      <c r="B10" s="5" t="s">
        <v>34</v>
      </c>
      <c r="C10" s="3"/>
      <c r="D10" s="3"/>
      <c r="E10" s="3"/>
      <c r="H10" s="38" t="s">
        <v>6</v>
      </c>
      <c r="I10" s="6" t="s">
        <v>50</v>
      </c>
    </row>
    <row r="11" spans="1:19" ht="18" customHeight="1" x14ac:dyDescent="0.75">
      <c r="A11" s="38" t="s">
        <v>7</v>
      </c>
      <c r="B11" s="5" t="s">
        <v>35</v>
      </c>
      <c r="C11" s="3"/>
      <c r="D11" s="3"/>
      <c r="E11" s="3"/>
      <c r="F11" s="7"/>
      <c r="H11" s="42" t="s">
        <v>7</v>
      </c>
      <c r="I11" s="7" t="s">
        <v>8</v>
      </c>
      <c r="K11" s="7"/>
    </row>
    <row r="12" spans="1:19" ht="18" customHeight="1" x14ac:dyDescent="0.75">
      <c r="A12" s="38" t="s">
        <v>9</v>
      </c>
      <c r="B12" s="8" t="s">
        <v>62</v>
      </c>
      <c r="F12" s="7"/>
      <c r="H12" s="42" t="s">
        <v>10</v>
      </c>
      <c r="I12" s="9" t="s">
        <v>61</v>
      </c>
      <c r="J12" s="10"/>
      <c r="K12" s="7"/>
    </row>
    <row r="13" spans="1:19" ht="18" customHeight="1" x14ac:dyDescent="0.75">
      <c r="B13" s="11"/>
      <c r="F13" s="7"/>
      <c r="H13" s="42" t="s">
        <v>11</v>
      </c>
      <c r="I13" s="7" t="s">
        <v>64</v>
      </c>
      <c r="K13" s="7" t="s">
        <v>12</v>
      </c>
    </row>
    <row r="14" spans="1:19" ht="18" customHeight="1" x14ac:dyDescent="0.75">
      <c r="B14" s="11"/>
      <c r="F14" s="7"/>
      <c r="H14" s="42"/>
      <c r="I14" s="7"/>
      <c r="K14" s="7"/>
    </row>
    <row r="15" spans="1:19" ht="18" customHeight="1" x14ac:dyDescent="0.75">
      <c r="A15" s="12" t="s">
        <v>13</v>
      </c>
      <c r="B15" s="13"/>
      <c r="C15" s="12" t="s">
        <v>14</v>
      </c>
      <c r="D15" s="12"/>
      <c r="E15" s="13"/>
      <c r="F15" s="12" t="s">
        <v>15</v>
      </c>
      <c r="G15" s="14"/>
      <c r="H15" s="13" t="s">
        <v>16</v>
      </c>
      <c r="I15" s="13" t="s">
        <v>17</v>
      </c>
      <c r="J15" s="12" t="s">
        <v>18</v>
      </c>
      <c r="K15" s="13"/>
    </row>
    <row r="16" spans="1:19" ht="18" customHeight="1" x14ac:dyDescent="0.75">
      <c r="A16" s="15"/>
      <c r="B16" s="16"/>
      <c r="C16" s="17"/>
      <c r="D16" s="18"/>
      <c r="E16" s="16"/>
      <c r="F16" s="15"/>
      <c r="G16" s="16"/>
      <c r="H16" s="19" t="s">
        <v>19</v>
      </c>
      <c r="I16" s="19" t="s">
        <v>19</v>
      </c>
      <c r="J16" s="15" t="s">
        <v>20</v>
      </c>
      <c r="K16" s="16"/>
      <c r="Q16" s="20">
        <v>5.58</v>
      </c>
      <c r="R16" s="20">
        <v>3.7728000000000002</v>
      </c>
      <c r="S16" s="20" t="s">
        <v>21</v>
      </c>
    </row>
    <row r="17" spans="1:19" ht="18" customHeight="1" x14ac:dyDescent="0.75">
      <c r="A17" s="21"/>
      <c r="B17" s="22"/>
      <c r="C17" s="23" t="s">
        <v>48</v>
      </c>
      <c r="D17" s="24"/>
      <c r="E17" s="22"/>
      <c r="F17" s="21"/>
      <c r="G17" s="22"/>
      <c r="H17" s="25"/>
      <c r="I17" s="21"/>
      <c r="J17" s="65" t="s">
        <v>38</v>
      </c>
      <c r="K17" s="66"/>
      <c r="M17" s="4">
        <v>22.930350000000001</v>
      </c>
      <c r="N17" s="4">
        <v>14.88</v>
      </c>
      <c r="O17" s="4" t="s">
        <v>21</v>
      </c>
      <c r="Q17" s="20" t="s">
        <v>22</v>
      </c>
      <c r="R17" s="20" t="s">
        <v>23</v>
      </c>
      <c r="S17" s="20"/>
    </row>
    <row r="18" spans="1:19" ht="20.149999999999999" customHeight="1" x14ac:dyDescent="0.75">
      <c r="A18" s="72" t="s">
        <v>36</v>
      </c>
      <c r="B18" s="73"/>
      <c r="C18" s="58" t="s">
        <v>59</v>
      </c>
      <c r="D18" s="7"/>
      <c r="E18" s="27"/>
      <c r="F18" s="28">
        <v>500</v>
      </c>
      <c r="G18" s="26" t="s">
        <v>46</v>
      </c>
      <c r="H18" s="29">
        <v>1170</v>
      </c>
      <c r="I18" s="49">
        <f>F19*H18</f>
        <v>11700</v>
      </c>
      <c r="J18" s="74" t="s">
        <v>39</v>
      </c>
      <c r="K18" s="75"/>
    </row>
    <row r="19" spans="1:19" ht="20.149999999999999" customHeight="1" x14ac:dyDescent="0.75">
      <c r="A19" s="59" t="s">
        <v>60</v>
      </c>
      <c r="B19" s="60"/>
      <c r="C19" s="31"/>
      <c r="D19" s="32"/>
      <c r="E19" s="33"/>
      <c r="F19" s="34">
        <f>SUM(F18*20/1000)</f>
        <v>10</v>
      </c>
      <c r="G19" s="30" t="s">
        <v>21</v>
      </c>
      <c r="H19" s="35"/>
      <c r="I19" s="50"/>
      <c r="J19" s="36"/>
      <c r="K19" s="27"/>
    </row>
    <row r="20" spans="1:19" ht="18" customHeight="1" thickBot="1" x14ac:dyDescent="0.8">
      <c r="A20" s="69"/>
      <c r="B20" s="70"/>
      <c r="C20" s="70"/>
      <c r="D20" s="70"/>
      <c r="E20" s="71"/>
      <c r="F20" s="45">
        <f>SUM(F19)</f>
        <v>10</v>
      </c>
      <c r="G20" s="44" t="s">
        <v>21</v>
      </c>
      <c r="H20" s="43" t="s">
        <v>24</v>
      </c>
      <c r="I20" s="46">
        <f>SUM(I18:I19)</f>
        <v>11700</v>
      </c>
      <c r="J20" s="37"/>
      <c r="K20" s="33"/>
    </row>
    <row r="21" spans="1:19" s="3" customFormat="1" ht="18" customHeight="1" thickTop="1" x14ac:dyDescent="0.75">
      <c r="A21" s="51"/>
      <c r="B21" s="51"/>
      <c r="C21" s="51"/>
      <c r="D21" s="51"/>
      <c r="E21" s="51"/>
      <c r="F21" s="52"/>
      <c r="G21" s="53"/>
      <c r="H21" s="53"/>
      <c r="I21" s="54"/>
      <c r="J21" s="9"/>
      <c r="K21" s="9"/>
    </row>
    <row r="22" spans="1:19" ht="18" customHeight="1" x14ac:dyDescent="0.8">
      <c r="A22" s="38" t="s">
        <v>25</v>
      </c>
      <c r="B22" s="3" t="s">
        <v>65</v>
      </c>
      <c r="C22" s="3"/>
      <c r="D22" s="3"/>
      <c r="E22" s="3"/>
      <c r="F22" s="7"/>
      <c r="G22" s="55" t="s">
        <v>51</v>
      </c>
      <c r="H22" s="56" t="s">
        <v>52</v>
      </c>
      <c r="I22" s="57"/>
      <c r="J22" s="1"/>
      <c r="K22" s="57"/>
      <c r="L22" s="3"/>
    </row>
    <row r="23" spans="1:19" ht="18" customHeight="1" x14ac:dyDescent="0.6">
      <c r="A23" s="2"/>
      <c r="B23" s="3" t="s">
        <v>37</v>
      </c>
      <c r="C23" s="3"/>
      <c r="D23" s="3"/>
      <c r="E23" s="3"/>
      <c r="F23" s="7"/>
      <c r="G23" s="1" t="s">
        <v>67</v>
      </c>
      <c r="H23" s="1"/>
      <c r="I23" s="1"/>
      <c r="J23" s="1"/>
      <c r="K23" s="1"/>
      <c r="L23" s="3"/>
    </row>
    <row r="24" spans="1:19" ht="18" customHeight="1" x14ac:dyDescent="0.6">
      <c r="A24" s="2" t="s">
        <v>26</v>
      </c>
      <c r="B24" s="3"/>
      <c r="C24" s="3" t="s">
        <v>27</v>
      </c>
      <c r="D24" s="3"/>
      <c r="E24" s="3"/>
      <c r="G24" s="1" t="s">
        <v>68</v>
      </c>
      <c r="H24" s="1"/>
      <c r="I24" s="1"/>
      <c r="J24" s="1"/>
      <c r="K24" s="1"/>
      <c r="L24" s="3"/>
    </row>
    <row r="25" spans="1:19" ht="18" customHeight="1" x14ac:dyDescent="0.6">
      <c r="A25" s="38" t="s">
        <v>28</v>
      </c>
      <c r="B25" s="3" t="s">
        <v>49</v>
      </c>
      <c r="C25" s="3"/>
      <c r="D25" s="3"/>
      <c r="E25" s="3"/>
      <c r="G25" s="1" t="s">
        <v>53</v>
      </c>
      <c r="H25" s="1"/>
      <c r="I25" s="1"/>
      <c r="J25" s="1"/>
      <c r="K25" s="1"/>
      <c r="L25" s="3"/>
    </row>
    <row r="26" spans="1:19" ht="18" customHeight="1" x14ac:dyDescent="0.6">
      <c r="A26" s="38" t="s">
        <v>29</v>
      </c>
      <c r="B26" s="3" t="s">
        <v>41</v>
      </c>
      <c r="C26" s="3"/>
      <c r="D26" s="3"/>
      <c r="E26" s="3"/>
      <c r="G26" s="1" t="s">
        <v>54</v>
      </c>
      <c r="H26" s="1"/>
      <c r="I26" s="1"/>
      <c r="J26" s="1"/>
      <c r="K26" s="1"/>
      <c r="L26" s="3"/>
    </row>
    <row r="27" spans="1:19" ht="18" customHeight="1" x14ac:dyDescent="0.6">
      <c r="A27" s="38"/>
      <c r="B27" s="4" t="s">
        <v>42</v>
      </c>
      <c r="C27" s="3"/>
      <c r="D27" s="3"/>
      <c r="E27" s="3"/>
      <c r="G27" s="1" t="s">
        <v>55</v>
      </c>
      <c r="H27" s="1"/>
      <c r="I27" s="1"/>
      <c r="J27" s="1"/>
      <c r="K27" s="1"/>
      <c r="L27" s="3"/>
    </row>
    <row r="28" spans="1:19" ht="18" customHeight="1" x14ac:dyDescent="0.6">
      <c r="A28" s="38"/>
      <c r="B28" s="4" t="s">
        <v>43</v>
      </c>
      <c r="C28" s="3"/>
      <c r="D28" s="3"/>
      <c r="E28" s="3"/>
      <c r="G28" s="1" t="s">
        <v>56</v>
      </c>
      <c r="H28" s="1"/>
      <c r="I28" s="1"/>
      <c r="J28" s="1"/>
      <c r="K28" s="1"/>
      <c r="L28" s="3"/>
    </row>
    <row r="29" spans="1:19" ht="18" customHeight="1" x14ac:dyDescent="0.6">
      <c r="A29" s="38"/>
      <c r="B29" s="4" t="s">
        <v>44</v>
      </c>
      <c r="C29" s="3"/>
      <c r="D29" s="3"/>
      <c r="E29" s="3"/>
      <c r="G29" s="1" t="s">
        <v>57</v>
      </c>
      <c r="H29" s="1"/>
      <c r="I29" s="1"/>
      <c r="J29" s="1"/>
      <c r="K29" s="1"/>
      <c r="L29" s="3"/>
    </row>
    <row r="30" spans="1:19" ht="18" customHeight="1" x14ac:dyDescent="0.85">
      <c r="A30" s="38" t="s">
        <v>30</v>
      </c>
      <c r="B30" s="8"/>
      <c r="C30" s="3" t="s">
        <v>47</v>
      </c>
      <c r="D30" s="3"/>
      <c r="E30" s="3"/>
      <c r="G30" s="48"/>
      <c r="H30" s="47"/>
      <c r="K30" s="2"/>
      <c r="L30" s="3"/>
    </row>
    <row r="31" spans="1:19" ht="18" customHeight="1" x14ac:dyDescent="0.75">
      <c r="A31" s="38" t="s">
        <v>31</v>
      </c>
      <c r="C31" s="3" t="s">
        <v>47</v>
      </c>
      <c r="G31" s="38"/>
      <c r="L31" s="3"/>
    </row>
    <row r="32" spans="1:19" ht="18" customHeight="1" x14ac:dyDescent="0.75">
      <c r="A32" s="38"/>
      <c r="C32" s="3"/>
      <c r="G32" s="38"/>
      <c r="L32" s="3"/>
    </row>
    <row r="33" spans="1:11" ht="28" customHeight="1" x14ac:dyDescent="0.75">
      <c r="A33" s="67" t="s">
        <v>63</v>
      </c>
      <c r="B33" s="68"/>
      <c r="C33" s="68"/>
      <c r="D33" s="68"/>
      <c r="H33" s="32"/>
      <c r="I33" s="32"/>
    </row>
    <row r="34" spans="1:11" ht="20.149999999999999" customHeight="1" x14ac:dyDescent="0.75">
      <c r="A34" s="61" t="s">
        <v>32</v>
      </c>
      <c r="B34" s="61"/>
      <c r="C34" s="61"/>
      <c r="D34" s="61"/>
      <c r="E34" s="38"/>
      <c r="F34" s="39"/>
      <c r="G34" s="39"/>
      <c r="H34" s="61" t="s">
        <v>33</v>
      </c>
      <c r="I34" s="61"/>
      <c r="J34" s="61"/>
      <c r="K34" s="61"/>
    </row>
    <row r="39" spans="1:11" ht="20.149999999999999" customHeight="1" x14ac:dyDescent="0.75">
      <c r="J39" s="40"/>
    </row>
  </sheetData>
  <mergeCells count="11">
    <mergeCell ref="J18:K18"/>
    <mergeCell ref="A19:B19"/>
    <mergeCell ref="A34:D34"/>
    <mergeCell ref="H34:K34"/>
    <mergeCell ref="A1:K1"/>
    <mergeCell ref="A2:K2"/>
    <mergeCell ref="A6:K6"/>
    <mergeCell ref="J17:K17"/>
    <mergeCell ref="A33:D33"/>
    <mergeCell ref="A20:E20"/>
    <mergeCell ref="A18:B18"/>
  </mergeCells>
  <pageMargins left="0.56000000000000005" right="0.3" top="0.39370078740157499" bottom="0.196850393700787" header="0.31496062992126" footer="0.31496062992126"/>
  <pageSetup paperSize="9" scale="85" orientation="portrait" r:id="rId1"/>
  <headerFooter>
    <oddFooter>&amp;CThai Ha Public Company Limited
140 Moo 5 T.Bangkratuek A.Samphran, Nakornpathom 73210. Thailand.
Tel: (662) 482-1661-6 Fax: (6634) 288-415
E-mail: wanna_c@kasetbrand.co.th</oddFooter>
  </headerFooter>
  <drawing r:id="rId2"/>
</worksheet>
</file>

<file path=docMetadata/LabelInfo.xml><?xml version="1.0" encoding="utf-8"?>
<clbl:labelList xmlns:clbl="http://schemas.microsoft.com/office/2020/mipLabelMetadata">
  <clbl:label id="{a8eec281-aaa3-4dae-ac9b-9a398b9215e7}" enabled="0" method="" siteId="{a8eec281-aaa3-4dae-ac9b-9a398b9215e7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DC006-2025</vt:lpstr>
      <vt:lpstr>'DC006-2025'!Print_Area</vt:lpstr>
    </vt:vector>
  </TitlesOfParts>
  <Company>Thai Ha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Export 5002</dc:creator>
  <cp:lastModifiedBy>Kris Tangpiroonthum</cp:lastModifiedBy>
  <cp:lastPrinted>2025-11-19T06:34:59Z</cp:lastPrinted>
  <dcterms:created xsi:type="dcterms:W3CDTF">2007-06-04T06:46:28Z</dcterms:created>
  <dcterms:modified xsi:type="dcterms:W3CDTF">2025-11-19T06:45:30Z</dcterms:modified>
</cp:coreProperties>
</file>