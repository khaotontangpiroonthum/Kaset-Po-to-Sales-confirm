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ortheastern-my.sharepoint.com/personal/tangpiroonthum_k_northeastern_edu/Documents/Thai Ha customer/Sales confirm/"/>
    </mc:Choice>
  </mc:AlternateContent>
  <xr:revisionPtr revIDLastSave="0" documentId="8_{CA0ABEC5-8A7E-400F-B5DA-896A512E474C}" xr6:coauthVersionLast="47" xr6:coauthVersionMax="47" xr10:uidLastSave="{00000000-0000-0000-0000-000000000000}"/>
  <bookViews>
    <workbookView xWindow="-110" yWindow="-110" windowWidth="19420" windowHeight="10300" xr2:uid="{C46F8048-DC65-4BED-9833-464CAB83B804}"/>
  </bookViews>
  <sheets>
    <sheet name="EX004-2026" sheetId="7" r:id="rId1"/>
    <sheet name="cbm" sheetId="8" r:id="rId2"/>
  </sheets>
  <definedNames>
    <definedName name="_xlnm.Print_Area" localSheetId="0">'EX004-2026'!$A$1:$K$59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5" i="7" l="1"/>
  <c r="F36" i="7"/>
  <c r="I35" i="7"/>
  <c r="J13" i="8"/>
  <c r="I13" i="8"/>
  <c r="H13" i="8"/>
  <c r="J12" i="8"/>
  <c r="I12" i="8"/>
  <c r="J11" i="8"/>
  <c r="I11" i="8"/>
  <c r="J10" i="8"/>
  <c r="I10" i="8"/>
  <c r="J9" i="8"/>
  <c r="I9" i="8"/>
  <c r="J8" i="8"/>
  <c r="I8" i="8"/>
  <c r="J7" i="8"/>
  <c r="I7" i="8"/>
  <c r="J6" i="8"/>
  <c r="I6" i="8"/>
  <c r="J5" i="8"/>
  <c r="I5" i="8"/>
  <c r="J4" i="8"/>
  <c r="I4" i="8"/>
  <c r="J3" i="8"/>
  <c r="I3" i="8"/>
  <c r="J2" i="8"/>
  <c r="I2" i="8"/>
  <c r="F21" i="7"/>
  <c r="I32" i="7"/>
  <c r="F42" i="7"/>
  <c r="I41" i="7"/>
  <c r="F24" i="7"/>
  <c r="M23" i="7"/>
  <c r="F39" i="7"/>
  <c r="I38" i="7"/>
  <c r="N23" i="7" l="1"/>
  <c r="I23" i="7"/>
  <c r="H27" i="8"/>
  <c r="J26" i="8"/>
  <c r="I26" i="8"/>
  <c r="J25" i="8"/>
  <c r="I25" i="8"/>
  <c r="J24" i="8"/>
  <c r="I24" i="8"/>
  <c r="J23" i="8"/>
  <c r="I23" i="8"/>
  <c r="J22" i="8"/>
  <c r="I22" i="8"/>
  <c r="J21" i="8"/>
  <c r="I21" i="8"/>
  <c r="J20" i="8"/>
  <c r="I20" i="8"/>
  <c r="J19" i="8"/>
  <c r="I19" i="8"/>
  <c r="J18" i="8"/>
  <c r="I18" i="8"/>
  <c r="J17" i="8"/>
  <c r="I17" i="8"/>
  <c r="J16" i="8"/>
  <c r="I16" i="8"/>
  <c r="F18" i="7"/>
  <c r="N17" i="7"/>
  <c r="M17" i="7"/>
  <c r="I17" i="7"/>
  <c r="H40" i="8"/>
  <c r="J39" i="8"/>
  <c r="I39" i="8"/>
  <c r="J38" i="8"/>
  <c r="I38" i="8"/>
  <c r="J37" i="8"/>
  <c r="I37" i="8"/>
  <c r="J36" i="8"/>
  <c r="I36" i="8"/>
  <c r="J35" i="8"/>
  <c r="I35" i="8"/>
  <c r="J34" i="8"/>
  <c r="I34" i="8"/>
  <c r="J33" i="8"/>
  <c r="I33" i="8"/>
  <c r="J32" i="8"/>
  <c r="I32" i="8"/>
  <c r="J31" i="8"/>
  <c r="I31" i="8"/>
  <c r="J30" i="8"/>
  <c r="I30" i="8"/>
  <c r="J29" i="8"/>
  <c r="I29" i="8"/>
  <c r="I27" i="8" l="1"/>
  <c r="J27" i="8"/>
  <c r="J40" i="8"/>
  <c r="I40" i="8"/>
  <c r="H53" i="8"/>
  <c r="J52" i="8"/>
  <c r="I52" i="8"/>
  <c r="J51" i="8"/>
  <c r="I51" i="8"/>
  <c r="J50" i="8"/>
  <c r="I50" i="8"/>
  <c r="J49" i="8"/>
  <c r="I49" i="8"/>
  <c r="J48" i="8"/>
  <c r="I48" i="8"/>
  <c r="J47" i="8"/>
  <c r="I47" i="8"/>
  <c r="J46" i="8"/>
  <c r="I46" i="8"/>
  <c r="J45" i="8"/>
  <c r="I45" i="8"/>
  <c r="J44" i="8"/>
  <c r="I44" i="8"/>
  <c r="J43" i="8"/>
  <c r="I43" i="8"/>
  <c r="J42" i="8"/>
  <c r="I42" i="8"/>
  <c r="N20" i="7"/>
  <c r="M20" i="7"/>
  <c r="I53" i="8" l="1"/>
  <c r="J53" i="8"/>
  <c r="I20" i="7"/>
  <c r="H80" i="8" l="1"/>
  <c r="H67" i="8"/>
  <c r="J66" i="8"/>
  <c r="I66" i="8"/>
  <c r="J65" i="8"/>
  <c r="I65" i="8"/>
  <c r="J64" i="8"/>
  <c r="I64" i="8"/>
  <c r="J63" i="8"/>
  <c r="I63" i="8"/>
  <c r="J62" i="8"/>
  <c r="I62" i="8"/>
  <c r="J61" i="8"/>
  <c r="I61" i="8"/>
  <c r="J60" i="8"/>
  <c r="I60" i="8"/>
  <c r="J59" i="8"/>
  <c r="I59" i="8"/>
  <c r="J58" i="8"/>
  <c r="I58" i="8"/>
  <c r="J57" i="8"/>
  <c r="I57" i="8"/>
  <c r="J56" i="8"/>
  <c r="I56" i="8"/>
  <c r="J79" i="8"/>
  <c r="I79" i="8"/>
  <c r="J78" i="8"/>
  <c r="I78" i="8"/>
  <c r="J77" i="8"/>
  <c r="I77" i="8"/>
  <c r="J76" i="8"/>
  <c r="I76" i="8"/>
  <c r="J75" i="8"/>
  <c r="I75" i="8"/>
  <c r="J74" i="8"/>
  <c r="I74" i="8"/>
  <c r="J73" i="8"/>
  <c r="I73" i="8"/>
  <c r="J72" i="8"/>
  <c r="I72" i="8"/>
  <c r="J71" i="8"/>
  <c r="I71" i="8"/>
  <c r="J70" i="8"/>
  <c r="I70" i="8"/>
  <c r="J69" i="8"/>
  <c r="I69" i="8"/>
  <c r="H93" i="8"/>
  <c r="J92" i="8"/>
  <c r="I92" i="8"/>
  <c r="J91" i="8"/>
  <c r="I91" i="8"/>
  <c r="J90" i="8"/>
  <c r="I90" i="8"/>
  <c r="J89" i="8"/>
  <c r="I89" i="8"/>
  <c r="J88" i="8"/>
  <c r="I88" i="8"/>
  <c r="J87" i="8"/>
  <c r="I87" i="8"/>
  <c r="J86" i="8"/>
  <c r="I86" i="8"/>
  <c r="J85" i="8"/>
  <c r="I85" i="8"/>
  <c r="J84" i="8"/>
  <c r="I84" i="8"/>
  <c r="J83" i="8"/>
  <c r="I83" i="8"/>
  <c r="J82" i="8"/>
  <c r="I82" i="8"/>
  <c r="I80" i="8" l="1"/>
  <c r="I67" i="8"/>
  <c r="J67" i="8"/>
  <c r="J80" i="8"/>
  <c r="I93" i="8"/>
  <c r="J93" i="8"/>
  <c r="N14" i="7" l="1"/>
  <c r="M14" i="7"/>
  <c r="H107" i="8" l="1"/>
  <c r="J106" i="8"/>
  <c r="I106" i="8"/>
  <c r="J105" i="8"/>
  <c r="I105" i="8"/>
  <c r="J104" i="8"/>
  <c r="I104" i="8"/>
  <c r="J103" i="8"/>
  <c r="I103" i="8"/>
  <c r="J102" i="8"/>
  <c r="I102" i="8"/>
  <c r="J101" i="8"/>
  <c r="I101" i="8"/>
  <c r="J100" i="8"/>
  <c r="I100" i="8"/>
  <c r="J99" i="8"/>
  <c r="I99" i="8"/>
  <c r="J98" i="8"/>
  <c r="I98" i="8"/>
  <c r="J97" i="8"/>
  <c r="I97" i="8"/>
  <c r="J96" i="8"/>
  <c r="I96" i="8"/>
  <c r="I107" i="8" l="1"/>
  <c r="J107" i="8"/>
  <c r="N32" i="7"/>
  <c r="M29" i="7"/>
  <c r="M26" i="7"/>
  <c r="M32" i="7"/>
  <c r="M44" i="7" l="1"/>
  <c r="I113" i="8"/>
  <c r="H121" i="8" l="1"/>
  <c r="F33" i="7"/>
  <c r="J112" i="8"/>
  <c r="I112" i="8"/>
  <c r="J113" i="8"/>
  <c r="I14" i="7"/>
  <c r="I118" i="8"/>
  <c r="J118" i="8"/>
  <c r="J114" i="8" l="1"/>
  <c r="I114" i="8"/>
  <c r="J116" i="8"/>
  <c r="I116" i="8"/>
  <c r="F30" i="7" l="1"/>
  <c r="I29" i="7" l="1"/>
  <c r="N29" i="7"/>
  <c r="J111" i="8"/>
  <c r="I111" i="8"/>
  <c r="I115" i="8"/>
  <c r="J115" i="8"/>
  <c r="J110" i="8"/>
  <c r="I110" i="8"/>
  <c r="J120" i="8"/>
  <c r="I120" i="8"/>
  <c r="J119" i="8"/>
  <c r="I119" i="8"/>
  <c r="J117" i="8"/>
  <c r="I117" i="8"/>
  <c r="F27" i="7"/>
  <c r="F15" i="7"/>
  <c r="F44" i="7" s="1"/>
  <c r="I26" i="7" l="1"/>
  <c r="I44" i="7" s="1"/>
  <c r="N26" i="7"/>
  <c r="N44" i="7" s="1"/>
  <c r="I121" i="8"/>
  <c r="J121" i="8"/>
</calcChain>
</file>

<file path=xl/sharedStrings.xml><?xml version="1.0" encoding="utf-8"?>
<sst xmlns="http://schemas.openxmlformats.org/spreadsheetml/2006/main" count="597" uniqueCount="124">
  <si>
    <t>Sales Confirmation</t>
  </si>
  <si>
    <t>To</t>
  </si>
  <si>
    <t>From</t>
  </si>
  <si>
    <t>: Thai Ha Public Company Limited.</t>
  </si>
  <si>
    <t>Address</t>
  </si>
  <si>
    <t>Phone</t>
  </si>
  <si>
    <t>Attn</t>
  </si>
  <si>
    <t>Fax</t>
  </si>
  <si>
    <t>: 66-34-288-415</t>
  </si>
  <si>
    <t xml:space="preserve">PO# </t>
  </si>
  <si>
    <t>Date</t>
  </si>
  <si>
    <t>Ref. No.</t>
  </si>
  <si>
    <t>Packaging</t>
  </si>
  <si>
    <t>Description</t>
  </si>
  <si>
    <t>Quantity</t>
  </si>
  <si>
    <t>Price/MT</t>
  </si>
  <si>
    <t>Total</t>
  </si>
  <si>
    <t>Remarks</t>
  </si>
  <si>
    <t>($USD)</t>
  </si>
  <si>
    <t>MT</t>
  </si>
  <si>
    <t xml:space="preserve">Shipment: </t>
  </si>
  <si>
    <t xml:space="preserve">Payment:  </t>
  </si>
  <si>
    <t xml:space="preserve">Branch: </t>
  </si>
  <si>
    <t>Tesco Lotus Salaya</t>
  </si>
  <si>
    <t>(Seller's Signature)</t>
  </si>
  <si>
    <t>(Buyer's Signature)</t>
  </si>
  <si>
    <t>Mobile</t>
  </si>
  <si>
    <r>
      <rPr>
        <b/>
        <sz val="16"/>
        <rFont val="Cordia New"/>
        <family val="2"/>
      </rPr>
      <t xml:space="preserve">Account Name:    </t>
    </r>
    <r>
      <rPr>
        <sz val="16"/>
        <rFont val="Cordia New"/>
        <family val="2"/>
      </rPr>
      <t xml:space="preserve">   Thai Ha Public Company Limited.</t>
    </r>
  </si>
  <si>
    <r>
      <rPr>
        <b/>
        <sz val="16"/>
        <rFont val="Cordia New"/>
        <family val="2"/>
      </rPr>
      <t>Current Account No :</t>
    </r>
    <r>
      <rPr>
        <sz val="16"/>
        <rFont val="Cordia New"/>
        <family val="2"/>
      </rPr>
      <t xml:space="preserve"> 401 – 000404 – 9 – 840</t>
    </r>
  </si>
  <si>
    <r>
      <rPr>
        <b/>
        <sz val="16"/>
        <rFont val="Cordia New"/>
        <family val="2"/>
      </rPr>
      <t xml:space="preserve">Swift Code  : </t>
    </r>
    <r>
      <rPr>
        <sz val="16"/>
        <rFont val="Cordia New"/>
        <family val="2"/>
      </rPr>
      <t xml:space="preserve">        SICOTHBK</t>
    </r>
  </si>
  <si>
    <r>
      <rPr>
        <b/>
        <sz val="16"/>
        <rFont val="Cordia New"/>
        <family val="2"/>
      </rPr>
      <t xml:space="preserve">Bank Name :  </t>
    </r>
    <r>
      <rPr>
        <sz val="16"/>
        <rFont val="Cordia New"/>
        <family val="2"/>
      </rPr>
      <t xml:space="preserve">      Siam Commercial Bank PLC</t>
    </r>
  </si>
  <si>
    <t>THAI HA PUBLIC COMPANY LIMITED</t>
  </si>
  <si>
    <t>: 6666-115-9381</t>
  </si>
  <si>
    <t>: 6681-995-7421</t>
  </si>
  <si>
    <t>ASIA EXPRESS FOOD B.V.</t>
  </si>
  <si>
    <t>KILBYSTRAAT 1, 8263 CJ KAMPEN (NL), NETHERLANDS</t>
  </si>
  <si>
    <t>+31-38-3329082</t>
  </si>
  <si>
    <t>+31-38-3329045</t>
  </si>
  <si>
    <t>100g x 12</t>
  </si>
  <si>
    <t>"COCO JAS" BRAND (NO EGG)</t>
  </si>
  <si>
    <t>Cartons</t>
  </si>
  <si>
    <t>"SMART CHEF" BRAND</t>
  </si>
  <si>
    <t>Sacks</t>
  </si>
  <si>
    <t>"KASET" BRAND</t>
  </si>
  <si>
    <t>Bean Vermicelli</t>
  </si>
  <si>
    <t>Ship Via Asia Express Food</t>
  </si>
  <si>
    <t xml:space="preserve">Container: </t>
  </si>
  <si>
    <t>1x20 FCL</t>
  </si>
  <si>
    <t xml:space="preserve">Note:  </t>
  </si>
  <si>
    <t>100% TT against Copy Invoice &amp; BL documents</t>
  </si>
  <si>
    <t>Shipping Line:</t>
  </si>
  <si>
    <t>Port of Delivery: Rotterdam, Netherlands</t>
  </si>
  <si>
    <t>Port of Discharge: Rotterdam, Netherlands</t>
  </si>
  <si>
    <t>Remarks:</t>
  </si>
  <si>
    <t>Fumigation including free gas charge</t>
  </si>
  <si>
    <t>Documents Required: Invoice, B/L, CO, Packing List, Fumi Cert, Free Gas Cert.</t>
  </si>
  <si>
    <t>Cus. Item: 607</t>
  </si>
  <si>
    <t>Coco Jas Roll - Coconut Flavor</t>
  </si>
  <si>
    <t>Cus. Item: 7052</t>
  </si>
  <si>
    <t>5 Kg LL bag x 4</t>
  </si>
  <si>
    <t>Packages</t>
  </si>
  <si>
    <t>MS. May</t>
  </si>
  <si>
    <t>DESCRIPTION</t>
  </si>
  <si>
    <t>CARTON SIZE (C.M)</t>
  </si>
  <si>
    <t>QUANTITY</t>
  </si>
  <si>
    <t>CBM</t>
  </si>
  <si>
    <t>N.W.</t>
  </si>
  <si>
    <t>G.W.</t>
  </si>
  <si>
    <t>5KGS.X4BAGS/SACK</t>
  </si>
  <si>
    <t>x</t>
  </si>
  <si>
    <t>40G.X250BAGS/CARTON</t>
  </si>
  <si>
    <t>200G.X50BAGS/CARTON</t>
  </si>
  <si>
    <t>Bean Vermicelli Green bag</t>
  </si>
  <si>
    <t>500G.X20BAGS/CARTON</t>
  </si>
  <si>
    <t>Coconut roll - Coconut</t>
  </si>
  <si>
    <t>100g x12 Bag / carton</t>
  </si>
  <si>
    <t>Coconut roll - Pandan</t>
  </si>
  <si>
    <t>Hommali Rice</t>
  </si>
  <si>
    <t>Cus. Item: 7054</t>
  </si>
  <si>
    <t>1 Kg LL bag x 20</t>
  </si>
  <si>
    <t>Thai Hommali Rice</t>
  </si>
  <si>
    <t>1KGS.X20BAGS/CARTON</t>
  </si>
  <si>
    <t>10KGS./SACK</t>
  </si>
  <si>
    <t>20KGS./SACK</t>
  </si>
  <si>
    <t>40g x 250</t>
  </si>
  <si>
    <t>Coconut roll - Durian</t>
  </si>
  <si>
    <t>Cus. Item: 7519</t>
  </si>
  <si>
    <t>80G.X60BAGS/CARTON</t>
  </si>
  <si>
    <t xml:space="preserve">ต้นทุน </t>
  </si>
  <si>
    <t>%GP</t>
  </si>
  <si>
    <t>GP</t>
  </si>
  <si>
    <t>(USD)</t>
  </si>
  <si>
    <t>เฉลี่ย GP</t>
  </si>
  <si>
    <t>ยอด GP โดยประมาณ = 4,524.74 x 32.35 = 146,375.34 บาท</t>
  </si>
  <si>
    <t>FOB BANGKOK, THAILAND</t>
  </si>
  <si>
    <t>ex005</t>
  </si>
  <si>
    <t>EX006</t>
  </si>
  <si>
    <t>EX007</t>
  </si>
  <si>
    <r>
      <t xml:space="preserve">Thai Hom Mali Rice, </t>
    </r>
    <r>
      <rPr>
        <sz val="16"/>
        <color rgb="FFFF0000"/>
        <rFont val="Cordia New"/>
        <family val="2"/>
      </rPr>
      <t>New Crop 2026</t>
    </r>
  </si>
  <si>
    <t>EX008</t>
  </si>
  <si>
    <t>EX009</t>
  </si>
  <si>
    <t>Cus. Item: 7050</t>
  </si>
  <si>
    <t>20 Kg LL bag x 1</t>
  </si>
  <si>
    <r>
      <t xml:space="preserve">Thai Hom Mali Rice, </t>
    </r>
    <r>
      <rPr>
        <b/>
        <sz val="16"/>
        <color rgb="FFFF0000"/>
        <rFont val="Cordia New"/>
        <family val="2"/>
      </rPr>
      <t>New Crop 2026</t>
    </r>
  </si>
  <si>
    <t>EX002</t>
  </si>
  <si>
    <t>MR. Paul Eilander</t>
  </si>
  <si>
    <t>Coco Jas Roll - Pandan Flavor</t>
  </si>
  <si>
    <t>Cus. Item: 609</t>
  </si>
  <si>
    <t>EX003</t>
  </si>
  <si>
    <t>Total 18.38 CBM</t>
  </si>
  <si>
    <t xml:space="preserve">Cus. Item: 7519-2 </t>
  </si>
  <si>
    <t>200g x 50</t>
  </si>
  <si>
    <t>Cus. Item: 7051</t>
  </si>
  <si>
    <t>10 Kg LL bag x 1</t>
  </si>
  <si>
    <t>Cus. Item: 7519-3</t>
  </si>
  <si>
    <t>500g x 20</t>
  </si>
  <si>
    <t>EX004</t>
  </si>
  <si>
    <t>April 21, 2026</t>
  </si>
  <si>
    <t>: 4500054845</t>
  </si>
  <si>
    <t>: EX005/2026</t>
  </si>
  <si>
    <t xml:space="preserve">Cus. Item: 7519-1 </t>
  </si>
  <si>
    <t>80g x 60</t>
  </si>
  <si>
    <t>May 21/04/2026</t>
  </si>
  <si>
    <t>ETD around June 8-12,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</si>
</sst>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14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b/>
      <sz val="16"/>
      <name val="Cordia New"/>
      <family val="2"/>
    </font>
    <font>
      <sz val="16"/>
      <color theme="1"/>
      <name val="Cordia New"/>
      <family val="2"/>
    </font>
    <font>
      <sz val="16"/>
      <name val="Cordia New"/>
      <family val="2"/>
    </font>
    <font>
      <b/>
      <u/>
      <sz val="16"/>
      <name val="Cordia New"/>
      <family val="2"/>
    </font>
    <font>
      <sz val="16"/>
      <color rgb="FFFF0000"/>
      <name val="Cordia New"/>
      <family val="2"/>
    </font>
    <font>
      <u/>
      <sz val="16"/>
      <name val="Cordia New"/>
      <family val="2"/>
    </font>
    <font>
      <b/>
      <sz val="14"/>
      <name val="Cordia New"/>
      <family val="2"/>
      <charset val="222"/>
    </font>
    <font>
      <sz val="14"/>
      <name val="Cordia New"/>
      <family val="2"/>
    </font>
    <font>
      <b/>
      <sz val="14"/>
      <name val="Cordia New"/>
      <family val="2"/>
    </font>
    <font>
      <b/>
      <sz val="14"/>
      <color theme="1"/>
      <name val="Cordia New"/>
      <family val="2"/>
    </font>
    <font>
      <b/>
      <i/>
      <sz val="16"/>
      <color rgb="FF000099"/>
      <name val="Lucida Calligraphy"/>
      <family val="4"/>
    </font>
    <font>
      <b/>
      <sz val="16"/>
      <color rgb="FFFF0000"/>
      <name val="Cordia New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0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4" fontId="4" fillId="0" borderId="0" xfId="0" quotePrefix="1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2" xfId="0" applyFont="1" applyBorder="1" applyAlignment="1">
      <alignment vertical="center"/>
    </xf>
    <xf numFmtId="164" fontId="3" fillId="0" borderId="0" xfId="0" applyNumberFormat="1" applyFont="1" applyAlignment="1">
      <alignment vertical="center"/>
    </xf>
    <xf numFmtId="0" fontId="4" fillId="0" borderId="0" xfId="0" applyFont="1" applyAlignment="1">
      <alignment horizontal="centerContinuous" vertical="center"/>
    </xf>
    <xf numFmtId="0" fontId="4" fillId="0" borderId="0" xfId="0" quotePrefix="1" applyFont="1" applyAlignment="1">
      <alignment vertical="center"/>
    </xf>
    <xf numFmtId="0" fontId="4" fillId="0" borderId="4" xfId="0" applyFont="1" applyBorder="1" applyAlignment="1">
      <alignment vertical="center"/>
    </xf>
    <xf numFmtId="0" fontId="2" fillId="0" borderId="0" xfId="0" quotePrefix="1" applyFont="1" applyAlignment="1">
      <alignment horizontal="left" vertical="center"/>
    </xf>
    <xf numFmtId="0" fontId="4" fillId="0" borderId="9" xfId="0" applyFont="1" applyBorder="1" applyAlignment="1">
      <alignment vertical="center"/>
    </xf>
    <xf numFmtId="0" fontId="2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4" fontId="4" fillId="0" borderId="10" xfId="1" applyNumberFormat="1" applyFont="1" applyFill="1" applyBorder="1" applyAlignment="1">
      <alignment horizontal="center" vertical="center"/>
    </xf>
    <xf numFmtId="4" fontId="4" fillId="0" borderId="12" xfId="1" applyNumberFormat="1" applyFont="1" applyFill="1" applyBorder="1" applyAlignment="1">
      <alignment horizontal="center" vertical="center"/>
    </xf>
    <xf numFmtId="4" fontId="4" fillId="0" borderId="11" xfId="1" applyNumberFormat="1" applyFont="1" applyFill="1" applyBorder="1" applyAlignment="1">
      <alignment horizontal="center" vertical="center"/>
    </xf>
    <xf numFmtId="4" fontId="4" fillId="0" borderId="14" xfId="1" applyNumberFormat="1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43" fontId="4" fillId="0" borderId="15" xfId="0" applyNumberFormat="1" applyFont="1" applyBorder="1" applyAlignment="1">
      <alignment horizontal="center" vertical="center"/>
    </xf>
    <xf numFmtId="43" fontId="4" fillId="0" borderId="17" xfId="1" applyNumberFormat="1" applyFont="1" applyFill="1" applyBorder="1" applyAlignment="1">
      <alignment horizontal="left" vertical="center"/>
    </xf>
    <xf numFmtId="43" fontId="4" fillId="0" borderId="16" xfId="1" applyNumberFormat="1" applyFont="1" applyFill="1" applyBorder="1" applyAlignment="1">
      <alignment horizontal="left" vertical="center"/>
    </xf>
    <xf numFmtId="43" fontId="4" fillId="0" borderId="18" xfId="1" applyNumberFormat="1" applyFont="1" applyFill="1" applyBorder="1" applyAlignment="1">
      <alignment horizontal="left" vertical="center"/>
    </xf>
    <xf numFmtId="0" fontId="8" fillId="4" borderId="5" xfId="0" applyFont="1" applyFill="1" applyBorder="1" applyAlignment="1">
      <alignment horizontal="center"/>
    </xf>
    <xf numFmtId="2" fontId="8" fillId="4" borderId="5" xfId="0" applyNumberFormat="1" applyFont="1" applyFill="1" applyBorder="1" applyAlignment="1">
      <alignment horizontal="center"/>
    </xf>
    <xf numFmtId="0" fontId="9" fillId="0" borderId="0" xfId="0" applyFont="1"/>
    <xf numFmtId="0" fontId="8" fillId="0" borderId="5" xfId="0" applyFont="1" applyBorder="1" applyAlignment="1">
      <alignment horizontal="center"/>
    </xf>
    <xf numFmtId="2" fontId="8" fillId="0" borderId="5" xfId="0" applyNumberFormat="1" applyFont="1" applyBorder="1" applyAlignment="1">
      <alignment horizontal="center"/>
    </xf>
    <xf numFmtId="0" fontId="10" fillId="0" borderId="5" xfId="0" applyFont="1" applyBorder="1"/>
    <xf numFmtId="0" fontId="11" fillId="0" borderId="3" xfId="0" applyFont="1" applyBorder="1"/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9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3" fontId="4" fillId="0" borderId="6" xfId="1" applyNumberFormat="1" applyFont="1" applyFill="1" applyBorder="1" applyAlignment="1">
      <alignment horizontal="center" vertical="center"/>
    </xf>
    <xf numFmtId="43" fontId="2" fillId="0" borderId="7" xfId="0" applyNumberFormat="1" applyFont="1" applyBorder="1" applyAlignment="1">
      <alignment vertical="center"/>
    </xf>
    <xf numFmtId="43" fontId="2" fillId="0" borderId="8" xfId="0" applyNumberFormat="1" applyFont="1" applyBorder="1" applyAlignment="1">
      <alignment vertical="center"/>
    </xf>
    <xf numFmtId="43" fontId="2" fillId="0" borderId="13" xfId="0" applyNumberFormat="1" applyFont="1" applyBorder="1" applyAlignment="1">
      <alignment vertical="center"/>
    </xf>
    <xf numFmtId="43" fontId="4" fillId="0" borderId="15" xfId="1" applyNumberFormat="1" applyFont="1" applyFill="1" applyBorder="1" applyAlignment="1">
      <alignment horizontal="center" vertical="center"/>
    </xf>
    <xf numFmtId="43" fontId="2" fillId="0" borderId="17" xfId="0" applyNumberFormat="1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4" fontId="4" fillId="0" borderId="15" xfId="1" applyNumberFormat="1" applyFont="1" applyFill="1" applyBorder="1" applyAlignment="1">
      <alignment horizontal="center" vertical="center"/>
    </xf>
    <xf numFmtId="4" fontId="4" fillId="0" borderId="17" xfId="1" applyNumberFormat="1" applyFont="1" applyFill="1" applyBorder="1" applyAlignment="1">
      <alignment horizontal="center" vertical="center"/>
    </xf>
    <xf numFmtId="4" fontId="4" fillId="0" borderId="16" xfId="1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43" fontId="2" fillId="0" borderId="16" xfId="0" applyNumberFormat="1" applyFont="1" applyBorder="1" applyAlignment="1">
      <alignment vertical="center"/>
    </xf>
    <xf numFmtId="2" fontId="4" fillId="5" borderId="17" xfId="0" applyNumberFormat="1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/>
    </xf>
    <xf numFmtId="164" fontId="2" fillId="0" borderId="1" xfId="1" applyFont="1" applyBorder="1" applyAlignment="1">
      <alignment horizontal="center" vertical="center"/>
    </xf>
    <xf numFmtId="10" fontId="2" fillId="0" borderId="5" xfId="2" applyNumberFormat="1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10" fontId="2" fillId="0" borderId="5" xfId="2" applyNumberFormat="1" applyFont="1" applyBorder="1" applyAlignment="1">
      <alignment vertical="center"/>
    </xf>
    <xf numFmtId="164" fontId="2" fillId="0" borderId="28" xfId="1" applyFont="1" applyBorder="1" applyAlignment="1">
      <alignment vertical="center"/>
    </xf>
    <xf numFmtId="164" fontId="2" fillId="0" borderId="5" xfId="1" applyFont="1" applyFill="1" applyBorder="1" applyAlignment="1">
      <alignment horizontal="center" vertical="center"/>
    </xf>
    <xf numFmtId="0" fontId="2" fillId="5" borderId="0" xfId="0" applyFont="1" applyFill="1" applyAlignment="1">
      <alignment horizontal="right" vertical="center"/>
    </xf>
    <xf numFmtId="164" fontId="2" fillId="5" borderId="0" xfId="1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0" fontId="2" fillId="5" borderId="0" xfId="2" applyNumberFormat="1" applyFont="1" applyFill="1" applyBorder="1" applyAlignment="1">
      <alignment horizontal="center" vertical="center"/>
    </xf>
    <xf numFmtId="0" fontId="3" fillId="5" borderId="0" xfId="0" applyFont="1" applyFill="1" applyAlignment="1">
      <alignment vertical="center"/>
    </xf>
    <xf numFmtId="3" fontId="4" fillId="0" borderId="15" xfId="1" applyNumberFormat="1" applyFont="1" applyFill="1" applyBorder="1" applyAlignment="1">
      <alignment horizontal="center" vertical="center"/>
    </xf>
    <xf numFmtId="3" fontId="4" fillId="0" borderId="6" xfId="1" applyNumberFormat="1" applyFont="1" applyFill="1" applyBorder="1" applyAlignment="1">
      <alignment horizontal="center" vertical="center"/>
    </xf>
    <xf numFmtId="0" fontId="8" fillId="4" borderId="30" xfId="0" applyFont="1" applyFill="1" applyBorder="1" applyAlignment="1">
      <alignment horizontal="center"/>
    </xf>
    <xf numFmtId="0" fontId="8" fillId="0" borderId="30" xfId="0" applyFont="1" applyBorder="1" applyAlignment="1">
      <alignment horizontal="center"/>
    </xf>
    <xf numFmtId="0" fontId="2" fillId="4" borderId="0" xfId="0" applyFont="1" applyFill="1"/>
    <xf numFmtId="0" fontId="3" fillId="4" borderId="0" xfId="0" applyFont="1" applyFill="1" applyAlignment="1">
      <alignment vertical="center"/>
    </xf>
    <xf numFmtId="0" fontId="2" fillId="0" borderId="0" xfId="0" applyFont="1"/>
    <xf numFmtId="0" fontId="10" fillId="0" borderId="0" xfId="0" applyFont="1"/>
    <xf numFmtId="0" fontId="10" fillId="0" borderId="31" xfId="0" applyFont="1" applyBorder="1"/>
    <xf numFmtId="0" fontId="8" fillId="0" borderId="31" xfId="0" applyFont="1" applyBorder="1" applyAlignment="1">
      <alignment horizontal="center"/>
    </xf>
    <xf numFmtId="0" fontId="8" fillId="5" borderId="31" xfId="0" applyFont="1" applyFill="1" applyBorder="1" applyAlignment="1">
      <alignment horizontal="center"/>
    </xf>
    <xf numFmtId="2" fontId="8" fillId="0" borderId="31" xfId="0" applyNumberFormat="1" applyFont="1" applyBorder="1" applyAlignment="1">
      <alignment horizontal="center"/>
    </xf>
    <xf numFmtId="0" fontId="8" fillId="0" borderId="32" xfId="0" applyFont="1" applyBorder="1" applyAlignment="1">
      <alignment horizontal="center"/>
    </xf>
    <xf numFmtId="0" fontId="8" fillId="5" borderId="32" xfId="0" applyFont="1" applyFill="1" applyBorder="1" applyAlignment="1">
      <alignment horizontal="center"/>
    </xf>
    <xf numFmtId="2" fontId="8" fillId="0" borderId="32" xfId="0" applyNumberFormat="1" applyFont="1" applyBorder="1" applyAlignment="1">
      <alignment horizontal="center"/>
    </xf>
    <xf numFmtId="0" fontId="10" fillId="0" borderId="33" xfId="0" applyFont="1" applyBorder="1"/>
    <xf numFmtId="0" fontId="8" fillId="0" borderId="34" xfId="0" applyFont="1" applyBorder="1" applyAlignment="1">
      <alignment horizontal="center"/>
    </xf>
    <xf numFmtId="0" fontId="8" fillId="5" borderId="34" xfId="0" applyFont="1" applyFill="1" applyBorder="1" applyAlignment="1">
      <alignment horizontal="center"/>
    </xf>
    <xf numFmtId="2" fontId="8" fillId="0" borderId="34" xfId="0" applyNumberFormat="1" applyFont="1" applyBorder="1" applyAlignment="1">
      <alignment horizontal="center"/>
    </xf>
    <xf numFmtId="2" fontId="8" fillId="0" borderId="35" xfId="0" applyNumberFormat="1" applyFont="1" applyBorder="1" applyAlignment="1">
      <alignment horizontal="center"/>
    </xf>
    <xf numFmtId="164" fontId="2" fillId="0" borderId="36" xfId="1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2" fillId="0" borderId="0" xfId="0" applyFont="1" applyAlignment="1">
      <alignment horizontal="right" vertical="center"/>
    </xf>
    <xf numFmtId="2" fontId="4" fillId="0" borderId="7" xfId="0" applyNumberFormat="1" applyFont="1" applyBorder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2" fontId="4" fillId="0" borderId="16" xfId="0" applyNumberFormat="1" applyFont="1" applyBorder="1" applyAlignment="1">
      <alignment horizontal="center" vertical="center"/>
    </xf>
    <xf numFmtId="2" fontId="4" fillId="0" borderId="17" xfId="0" applyNumberFormat="1" applyFont="1" applyBorder="1" applyAlignment="1">
      <alignment horizontal="center" vertical="center"/>
    </xf>
    <xf numFmtId="2" fontId="4" fillId="0" borderId="18" xfId="0" applyNumberFormat="1" applyFont="1" applyBorder="1" applyAlignment="1">
      <alignment horizontal="center" vertical="center"/>
    </xf>
    <xf numFmtId="3" fontId="4" fillId="4" borderId="6" xfId="1" applyNumberFormat="1" applyFont="1" applyFill="1" applyBorder="1" applyAlignment="1">
      <alignment horizontal="center" vertical="center"/>
    </xf>
    <xf numFmtId="164" fontId="2" fillId="0" borderId="0" xfId="1" applyFont="1" applyFill="1" applyBorder="1" applyAlignment="1">
      <alignment horizontal="right" vertical="center"/>
    </xf>
    <xf numFmtId="43" fontId="2" fillId="0" borderId="0" xfId="0" applyNumberFormat="1" applyFont="1" applyAlignment="1">
      <alignment vertical="center"/>
    </xf>
    <xf numFmtId="0" fontId="3" fillId="0" borderId="0" xfId="0" applyFont="1" applyAlignment="1">
      <alignment horizontal="right" vertical="center"/>
    </xf>
    <xf numFmtId="43" fontId="3" fillId="0" borderId="0" xfId="0" applyNumberFormat="1" applyFont="1" applyAlignment="1">
      <alignment vertical="center"/>
    </xf>
    <xf numFmtId="164" fontId="2" fillId="0" borderId="2" xfId="1" applyFont="1" applyBorder="1" applyAlignment="1">
      <alignment vertical="center"/>
    </xf>
    <xf numFmtId="2" fontId="2" fillId="0" borderId="2" xfId="0" applyNumberFormat="1" applyFont="1" applyBorder="1" applyAlignment="1">
      <alignment vertical="center"/>
    </xf>
    <xf numFmtId="2" fontId="2" fillId="3" borderId="38" xfId="0" applyNumberFormat="1" applyFont="1" applyFill="1" applyBorder="1" applyAlignment="1">
      <alignment horizontal="center" vertical="center"/>
    </xf>
    <xf numFmtId="0" fontId="2" fillId="3" borderId="39" xfId="0" applyFont="1" applyFill="1" applyBorder="1" applyAlignment="1">
      <alignment horizontal="center" vertical="center"/>
    </xf>
    <xf numFmtId="164" fontId="2" fillId="3" borderId="40" xfId="1" applyFont="1" applyFill="1" applyBorder="1" applyAlignment="1">
      <alignment horizontal="center" vertical="center"/>
    </xf>
    <xf numFmtId="43" fontId="2" fillId="2" borderId="37" xfId="0" applyNumberFormat="1" applyFont="1" applyFill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2" borderId="33" xfId="0" applyFont="1" applyFill="1" applyBorder="1" applyAlignment="1">
      <alignment horizontal="right" vertical="center"/>
    </xf>
    <xf numFmtId="0" fontId="2" fillId="2" borderId="38" xfId="0" applyFont="1" applyFill="1" applyBorder="1" applyAlignment="1">
      <alignment horizontal="right" vertical="center"/>
    </xf>
    <xf numFmtId="0" fontId="2" fillId="2" borderId="39" xfId="0" applyFont="1" applyFill="1" applyBorder="1" applyAlignment="1">
      <alignment horizontal="right" vertical="center"/>
    </xf>
    <xf numFmtId="0" fontId="12" fillId="0" borderId="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8" fillId="4" borderId="5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374650</xdr:colOff>
      <xdr:row>0</xdr:row>
      <xdr:rowOff>31750</xdr:rowOff>
    </xdr:from>
    <xdr:to>
      <xdr:col>4</xdr:col>
      <xdr:colOff>304800</xdr:colOff>
      <xdr:row>3</xdr:row>
      <xdr:rowOff>129128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5CC764-C31C-4E48-A957-0FA1FB207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32100" y="31750"/>
          <a:ext cx="571500" cy="55457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370173</xdr:colOff>
      <xdr:row>10</xdr:row>
      <xdr:rowOff>190499</xdr:rowOff>
    </xdr:from>
    <xdr:to>
      <xdr:col>30</xdr:col>
      <xdr:colOff>92165</xdr:colOff>
      <xdr:row>32</xdr:row>
      <xdr:rowOff>40821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04C003D-AE58-01E4-0636-8755525F5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70780" y="2272392"/>
          <a:ext cx="9736849" cy="49393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408215</xdr:colOff>
      <xdr:row>94</xdr:row>
      <xdr:rowOff>1383</xdr:rowOff>
    </xdr:from>
    <xdr:to>
      <xdr:col>27</xdr:col>
      <xdr:colOff>112892</xdr:colOff>
      <xdr:row>103</xdr:row>
      <xdr:rowOff>194626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504B8B-B20D-4F24-BF27-AB7CF5E8D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47465" y="1383"/>
          <a:ext cx="6440213" cy="2615315"/>
        </a:xfrm>
        <a:prstGeom prst="rect">
          <a:avLst/>
        </a:prstGeom>
      </xdr:spPr>
    </xdr:pic>
    <xdr:clientData/>
  </xdr:twoCellAnchor>
  <xdr:twoCellAnchor editAs="oneCell">
    <xdr:from>
      <xdr:col>13</xdr:col>
      <xdr:colOff>68036</xdr:colOff>
      <xdr:row>80</xdr:row>
      <xdr:rowOff>112508</xdr:rowOff>
    </xdr:from>
    <xdr:to>
      <xdr:col>22</xdr:col>
      <xdr:colOff>170473</xdr:colOff>
      <xdr:row>90</xdr:row>
      <xdr:rowOff>42372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AECB978-FE46-496D-9C93-5949E2A25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63893" y="112508"/>
          <a:ext cx="5613330" cy="2596864"/>
        </a:xfrm>
        <a:prstGeom prst="rect">
          <a:avLst/>
        </a:prstGeom>
      </xdr:spPr>
    </xdr:pic>
    <xdr:clientData/>
  </xdr:twoCellAnchor>
  <xdr:twoCellAnchor editAs="oneCell">
    <xdr:from>
      <xdr:col>12</xdr:col>
      <xdr:colOff>585108</xdr:colOff>
      <xdr:row>67</xdr:row>
      <xdr:rowOff>68035</xdr:rowOff>
    </xdr:from>
    <xdr:to>
      <xdr:col>24</xdr:col>
      <xdr:colOff>203717</xdr:colOff>
      <xdr:row>79</xdr:row>
      <xdr:rowOff>68035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D8E66F7-BDEF-49F0-B153-09A571042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68644" y="68035"/>
          <a:ext cx="6966466" cy="3211286"/>
        </a:xfrm>
        <a:prstGeom prst="rect">
          <a:avLst/>
        </a:prstGeom>
      </xdr:spPr>
    </xdr:pic>
    <xdr:clientData/>
  </xdr:twoCellAnchor>
  <xdr:twoCellAnchor editAs="oneCell">
    <xdr:from>
      <xdr:col>13</xdr:col>
      <xdr:colOff>47069</xdr:colOff>
      <xdr:row>54</xdr:row>
      <xdr:rowOff>231322</xdr:rowOff>
    </xdr:from>
    <xdr:to>
      <xdr:col>24</xdr:col>
      <xdr:colOff>544285</xdr:colOff>
      <xdr:row>64</xdr:row>
      <xdr:rowOff>190500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4A7BB-F824-4790-8CD2-B18E5089A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42926" y="231322"/>
          <a:ext cx="7232752" cy="2626178"/>
        </a:xfrm>
        <a:prstGeom prst="rect">
          <a:avLst/>
        </a:prstGeom>
      </xdr:spPr>
    </xdr:pic>
    <xdr:clientData/>
  </xdr:twoCellAnchor>
  <xdr:twoCellAnchor editAs="oneCell">
    <xdr:from>
      <xdr:col>13</xdr:col>
      <xdr:colOff>136071</xdr:colOff>
      <xdr:row>40</xdr:row>
      <xdr:rowOff>217713</xdr:rowOff>
    </xdr:from>
    <xdr:to>
      <xdr:col>24</xdr:col>
      <xdr:colOff>487083</xdr:colOff>
      <xdr:row>50</xdr:row>
      <xdr:rowOff>183542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9FF8013-0A21-4B68-9B42-2A382D979E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531928" y="217713"/>
          <a:ext cx="7086548" cy="2632829"/>
        </a:xfrm>
        <a:prstGeom prst="rect">
          <a:avLst/>
        </a:prstGeom>
      </xdr:spPr>
    </xdr:pic>
    <xdr:clientData/>
  </xdr:twoCellAnchor>
  <xdr:twoCellAnchor editAs="oneCell">
    <xdr:from>
      <xdr:col>12</xdr:col>
      <xdr:colOff>597615</xdr:colOff>
      <xdr:row>28</xdr:row>
      <xdr:rowOff>13607</xdr:rowOff>
    </xdr:from>
    <xdr:to>
      <xdr:col>23</xdr:col>
      <xdr:colOff>571500</xdr:colOff>
      <xdr:row>38</xdr:row>
      <xdr:rowOff>95250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3B03280-73B5-4A20-B2F7-DC9A4E8FE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381151" y="285750"/>
          <a:ext cx="6709420" cy="2748643"/>
        </a:xfrm>
        <a:prstGeom prst="rect">
          <a:avLst/>
        </a:prstGeom>
      </xdr:spPr>
    </xdr:pic>
    <xdr:clientData/>
  </xdr:twoCellAnchor>
  <xdr:twoCellAnchor editAs="oneCell">
    <xdr:from>
      <xdr:col>13</xdr:col>
      <xdr:colOff>231322</xdr:colOff>
      <xdr:row>14</xdr:row>
      <xdr:rowOff>190500</xdr:rowOff>
    </xdr:from>
    <xdr:to>
      <xdr:col>25</xdr:col>
      <xdr:colOff>397112</xdr:colOff>
      <xdr:row>24</xdr:row>
      <xdr:rowOff>244929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C6A4A3A-B8DB-4FE7-9361-C5222C99A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627179" y="190500"/>
          <a:ext cx="7513647" cy="2721429"/>
        </a:xfrm>
        <a:prstGeom prst="rect">
          <a:avLst/>
        </a:prstGeom>
      </xdr:spPr>
    </xdr:pic>
    <xdr:clientData/>
  </xdr:twoCellAnchor>
  <xdr:twoCellAnchor editAs="oneCell">
    <xdr:from>
      <xdr:col>13</xdr:col>
      <xdr:colOff>367393</xdr:colOff>
      <xdr:row>0</xdr:row>
      <xdr:rowOff>202441</xdr:rowOff>
    </xdr:from>
    <xdr:to>
      <xdr:col>24</xdr:col>
      <xdr:colOff>272142</xdr:colOff>
      <xdr:row>12</xdr:row>
      <xdr:rowOff>222464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D2EBC7D-CC97-71D1-9C33-06D57C61D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763250" y="202441"/>
          <a:ext cx="6640285" cy="32313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CAD75-EB6E-4DC4-A9AD-4BCC88E32837}">
  <sheetPr>
    <pageSetUpPr fitToPage="1"/>
  </sheetPr>
  <dimension ref="A1:U63"/>
  <sheetViews>
    <sheetView tabSelected="1" zoomScale="95" zoomScaleNormal="95" workbookViewId="0">
      <selection activeCell="H53" sqref="H53"/>
    </sheetView>
  </sheetViews>
  <sheetFormatPr defaultColWidth="9.26953125" defaultRowHeight="24.5"/>
  <cols>
    <col min="1" max="1" width="13.54296875" style="1" customWidth="1"/>
    <col min="2" max="2" width="12.453125" style="1" customWidth="1"/>
    <col min="3" max="4" width="9.26953125" style="1"/>
    <col min="5" max="5" width="28.54296875" style="1" customWidth="1"/>
    <col min="6" max="6" width="12.453125" style="1" customWidth="1"/>
    <col min="7" max="7" width="10.453125" style="1" customWidth="1"/>
    <col min="8" max="8" width="25.26953125" style="1" customWidth="1"/>
    <col min="9" max="9" width="14.7265625" style="1" customWidth="1"/>
    <col min="10" max="10" width="9.26953125" style="1" customWidth="1"/>
    <col min="11" max="11" width="8.7265625" style="1" customWidth="1"/>
    <col min="12" max="12" width="14" style="1" hidden="1" customWidth="1"/>
    <col min="13" max="13" width="11.81640625" style="1" hidden="1" customWidth="1"/>
    <col min="14" max="14" width="11.7265625" style="1" hidden="1" customWidth="1"/>
    <col min="15" max="16384" width="9.26953125" style="1"/>
  </cols>
  <sheetData>
    <row r="1" spans="1:14" ht="18" customHeight="1">
      <c r="A1" s="116" t="s">
        <v>31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</row>
    <row r="2" spans="1:14" ht="18" hidden="1" customHeight="1">
      <c r="A2" s="2"/>
      <c r="B2" s="2"/>
      <c r="C2" s="2"/>
      <c r="D2" s="2"/>
      <c r="E2" s="2"/>
      <c r="F2" s="2"/>
      <c r="G2" s="2"/>
      <c r="H2" s="3"/>
      <c r="I2" s="2"/>
      <c r="J2" s="2"/>
      <c r="K2" s="2"/>
    </row>
    <row r="3" spans="1:14" ht="18" customHeight="1">
      <c r="A3" s="116" t="s">
        <v>0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</row>
    <row r="4" spans="1:14" ht="18" customHeight="1">
      <c r="A4" s="2" t="s">
        <v>1</v>
      </c>
      <c r="B4" s="2" t="s">
        <v>34</v>
      </c>
      <c r="C4" s="2"/>
      <c r="D4" s="2"/>
      <c r="E4" s="2"/>
      <c r="F4" s="2"/>
      <c r="G4" s="2"/>
      <c r="H4" s="2" t="s">
        <v>2</v>
      </c>
      <c r="I4" s="2" t="s">
        <v>3</v>
      </c>
      <c r="J4" s="2"/>
      <c r="K4" s="2"/>
      <c r="L4" s="2"/>
    </row>
    <row r="5" spans="1:14" ht="18" customHeight="1">
      <c r="A5" s="2" t="s">
        <v>4</v>
      </c>
      <c r="B5" s="2" t="s">
        <v>35</v>
      </c>
      <c r="C5" s="2"/>
      <c r="D5" s="2"/>
      <c r="E5" s="2"/>
      <c r="F5" s="2"/>
      <c r="G5" s="2"/>
      <c r="H5" s="2"/>
      <c r="I5" s="2" t="s">
        <v>61</v>
      </c>
      <c r="J5" s="2"/>
      <c r="K5" s="2"/>
      <c r="L5" s="2"/>
    </row>
    <row r="6" spans="1:14" ht="18" customHeight="1">
      <c r="A6" s="2"/>
      <c r="B6" s="2"/>
      <c r="C6" s="2"/>
      <c r="D6" s="2"/>
      <c r="E6" s="2"/>
      <c r="F6" s="2"/>
      <c r="G6" s="2"/>
      <c r="H6" s="2" t="s">
        <v>5</v>
      </c>
      <c r="I6" s="2" t="s">
        <v>32</v>
      </c>
      <c r="J6" s="2"/>
      <c r="K6" s="2"/>
      <c r="L6" s="2"/>
    </row>
    <row r="7" spans="1:14" ht="18" customHeight="1">
      <c r="A7" s="2" t="s">
        <v>6</v>
      </c>
      <c r="B7" s="2" t="s">
        <v>105</v>
      </c>
      <c r="C7" s="2"/>
      <c r="D7" s="2"/>
      <c r="E7" s="2"/>
      <c r="F7" s="2"/>
      <c r="G7" s="2"/>
      <c r="H7" s="2" t="s">
        <v>7</v>
      </c>
      <c r="I7" s="2" t="s">
        <v>8</v>
      </c>
      <c r="J7" s="5"/>
      <c r="K7" s="2"/>
      <c r="L7" s="2"/>
    </row>
    <row r="8" spans="1:14" ht="18" customHeight="1">
      <c r="A8" s="2" t="s">
        <v>5</v>
      </c>
      <c r="B8" s="11" t="s">
        <v>36</v>
      </c>
      <c r="C8" s="2"/>
      <c r="D8" s="2"/>
      <c r="E8" s="2"/>
      <c r="F8" s="2"/>
      <c r="G8" s="2"/>
      <c r="H8" s="2" t="s">
        <v>26</v>
      </c>
      <c r="I8" s="2" t="s">
        <v>33</v>
      </c>
      <c r="K8" s="2"/>
      <c r="L8" s="2"/>
    </row>
    <row r="9" spans="1:14" ht="18" customHeight="1">
      <c r="A9" s="2" t="s">
        <v>7</v>
      </c>
      <c r="B9" s="11" t="s">
        <v>37</v>
      </c>
      <c r="C9" s="2"/>
      <c r="D9" s="2"/>
      <c r="E9" s="2"/>
      <c r="F9" s="2"/>
      <c r="G9" s="2"/>
      <c r="H9" s="4" t="s">
        <v>9</v>
      </c>
      <c r="I9" s="13" t="s">
        <v>118</v>
      </c>
      <c r="J9" s="2"/>
      <c r="K9" s="2"/>
      <c r="L9" s="2"/>
    </row>
    <row r="10" spans="1:14" ht="18" customHeight="1">
      <c r="A10" s="2" t="s">
        <v>10</v>
      </c>
      <c r="B10" s="6" t="s">
        <v>117</v>
      </c>
      <c r="C10" s="2"/>
      <c r="D10" s="2"/>
      <c r="E10" s="7"/>
      <c r="F10" s="2"/>
      <c r="G10" s="2"/>
      <c r="H10" s="4" t="s">
        <v>11</v>
      </c>
      <c r="I10" s="4" t="s">
        <v>119</v>
      </c>
      <c r="J10" s="2"/>
      <c r="K10" s="2"/>
      <c r="L10" s="2"/>
    </row>
    <row r="11" spans="1:14" ht="18" customHeight="1" thickBot="1">
      <c r="A11" s="2"/>
      <c r="B11" s="2"/>
      <c r="C11" s="2"/>
      <c r="D11" s="2"/>
      <c r="E11" s="7"/>
      <c r="F11" s="2"/>
      <c r="G11" s="2"/>
      <c r="H11" s="4"/>
      <c r="I11" s="4"/>
      <c r="J11" s="2"/>
      <c r="K11" s="2"/>
      <c r="L11" s="2"/>
    </row>
    <row r="12" spans="1:14" s="4" customFormat="1" ht="18" customHeight="1">
      <c r="A12" s="118" t="s">
        <v>12</v>
      </c>
      <c r="B12" s="119"/>
      <c r="C12" s="118" t="s">
        <v>13</v>
      </c>
      <c r="D12" s="122"/>
      <c r="E12" s="122"/>
      <c r="F12" s="118" t="s">
        <v>14</v>
      </c>
      <c r="G12" s="119"/>
      <c r="H12" s="36" t="s">
        <v>15</v>
      </c>
      <c r="I12" s="23" t="s">
        <v>16</v>
      </c>
      <c r="J12" s="118" t="s">
        <v>17</v>
      </c>
      <c r="K12" s="119"/>
      <c r="L12" s="59" t="s">
        <v>88</v>
      </c>
      <c r="M12" s="112" t="s">
        <v>89</v>
      </c>
      <c r="N12" s="60" t="s">
        <v>90</v>
      </c>
    </row>
    <row r="13" spans="1:14" s="4" customFormat="1" ht="18" customHeight="1" thickBot="1">
      <c r="A13" s="120"/>
      <c r="B13" s="121"/>
      <c r="C13" s="120"/>
      <c r="D13" s="123"/>
      <c r="E13" s="123"/>
      <c r="F13" s="120"/>
      <c r="G13" s="121"/>
      <c r="H13" s="37" t="s">
        <v>18</v>
      </c>
      <c r="I13" s="24" t="s">
        <v>18</v>
      </c>
      <c r="J13" s="124"/>
      <c r="K13" s="117"/>
      <c r="L13" s="61" t="s">
        <v>91</v>
      </c>
      <c r="M13" s="113"/>
      <c r="N13" s="62" t="s">
        <v>91</v>
      </c>
    </row>
    <row r="14" spans="1:14" s="4" customFormat="1" ht="18" customHeight="1">
      <c r="A14" s="131" t="s">
        <v>56</v>
      </c>
      <c r="B14" s="132"/>
      <c r="C14" s="15" t="s">
        <v>39</v>
      </c>
      <c r="D14" s="12"/>
      <c r="E14" s="12"/>
      <c r="F14" s="71">
        <v>48</v>
      </c>
      <c r="G14" s="19" t="s">
        <v>40</v>
      </c>
      <c r="H14" s="41">
        <v>13.2</v>
      </c>
      <c r="I14" s="25">
        <f>F14*H14</f>
        <v>633.59999999999991</v>
      </c>
      <c r="J14" s="125" t="s">
        <v>94</v>
      </c>
      <c r="K14" s="126"/>
      <c r="L14" s="91">
        <v>8.3000000000000007</v>
      </c>
      <c r="M14" s="63">
        <f>(H14-L14)/H14</f>
        <v>0.3712121212121211</v>
      </c>
      <c r="N14" s="64">
        <f>(H14-L14)*F14</f>
        <v>235.19999999999993</v>
      </c>
    </row>
    <row r="15" spans="1:14" s="4" customFormat="1" ht="18" customHeight="1">
      <c r="A15" s="133" t="s">
        <v>38</v>
      </c>
      <c r="B15" s="134"/>
      <c r="C15" s="16" t="s">
        <v>57</v>
      </c>
      <c r="D15" s="2"/>
      <c r="E15" s="2"/>
      <c r="F15" s="55">
        <f>(100*12)*F14/1000000</f>
        <v>5.7599999999999998E-2</v>
      </c>
      <c r="G15" s="20" t="s">
        <v>19</v>
      </c>
      <c r="H15" s="42"/>
      <c r="I15" s="26"/>
      <c r="J15" s="127"/>
      <c r="K15" s="128"/>
      <c r="L15" s="114"/>
      <c r="M15" s="114"/>
      <c r="N15" s="115"/>
    </row>
    <row r="16" spans="1:14" s="4" customFormat="1" ht="18" customHeight="1" thickBot="1">
      <c r="A16" s="135"/>
      <c r="B16" s="136"/>
      <c r="C16" s="17"/>
      <c r="D16" s="14"/>
      <c r="E16" s="14"/>
      <c r="F16" s="98"/>
      <c r="G16" s="21"/>
      <c r="H16" s="43"/>
      <c r="I16" s="27"/>
      <c r="J16" s="127"/>
      <c r="K16" s="128"/>
      <c r="L16" s="116"/>
      <c r="M16" s="116"/>
      <c r="N16" s="117"/>
    </row>
    <row r="17" spans="1:14" s="4" customFormat="1" ht="18" customHeight="1">
      <c r="A17" s="131" t="s">
        <v>107</v>
      </c>
      <c r="B17" s="132"/>
      <c r="C17" s="15" t="s">
        <v>39</v>
      </c>
      <c r="D17" s="12"/>
      <c r="E17" s="12"/>
      <c r="F17" s="71">
        <v>48</v>
      </c>
      <c r="G17" s="19" t="s">
        <v>40</v>
      </c>
      <c r="H17" s="41">
        <v>13.2</v>
      </c>
      <c r="I17" s="25">
        <f>F17*H17</f>
        <v>633.59999999999991</v>
      </c>
      <c r="J17" s="127"/>
      <c r="K17" s="128"/>
      <c r="L17" s="91">
        <v>8.3000000000000007</v>
      </c>
      <c r="M17" s="63">
        <f>(H17-L17)/H17</f>
        <v>0.3712121212121211</v>
      </c>
      <c r="N17" s="64">
        <f>(H17-L17)*F17</f>
        <v>235.19999999999993</v>
      </c>
    </row>
    <row r="18" spans="1:14" s="4" customFormat="1" ht="18" customHeight="1">
      <c r="A18" s="133" t="s">
        <v>38</v>
      </c>
      <c r="B18" s="134"/>
      <c r="C18" s="16" t="s">
        <v>106</v>
      </c>
      <c r="D18" s="2"/>
      <c r="E18" s="2"/>
      <c r="F18" s="99">
        <f>(100*12)*F17/1000000</f>
        <v>5.7599999999999998E-2</v>
      </c>
      <c r="G18" s="20" t="s">
        <v>19</v>
      </c>
      <c r="H18" s="42"/>
      <c r="I18" s="26"/>
      <c r="J18" s="127"/>
      <c r="K18" s="128"/>
      <c r="L18" s="114"/>
      <c r="M18" s="114"/>
      <c r="N18" s="115"/>
    </row>
    <row r="19" spans="1:14" s="4" customFormat="1" ht="18" customHeight="1" thickBot="1">
      <c r="A19" s="135"/>
      <c r="B19" s="136"/>
      <c r="C19" s="17"/>
      <c r="D19" s="14"/>
      <c r="E19" s="14"/>
      <c r="F19" s="98"/>
      <c r="G19" s="21"/>
      <c r="H19" s="43"/>
      <c r="I19" s="27"/>
      <c r="J19" s="127"/>
      <c r="K19" s="128"/>
      <c r="L19" s="116"/>
      <c r="M19" s="116"/>
      <c r="N19" s="117"/>
    </row>
    <row r="20" spans="1:14" s="4" customFormat="1" ht="18" customHeight="1">
      <c r="A20" s="131" t="s">
        <v>101</v>
      </c>
      <c r="B20" s="132"/>
      <c r="C20" s="92" t="s">
        <v>41</v>
      </c>
      <c r="D20" s="12"/>
      <c r="E20" s="12"/>
      <c r="F20" s="71">
        <v>200</v>
      </c>
      <c r="G20" s="19" t="s">
        <v>42</v>
      </c>
      <c r="H20" s="41">
        <v>1275</v>
      </c>
      <c r="I20" s="25">
        <f>F21*H20</f>
        <v>5100</v>
      </c>
      <c r="J20" s="127"/>
      <c r="K20" s="128"/>
      <c r="L20" s="91">
        <v>1040</v>
      </c>
      <c r="M20" s="63">
        <f>(H20-L20)/H20</f>
        <v>0.18431372549019609</v>
      </c>
      <c r="N20" s="64">
        <f>(H20-L20)*F21</f>
        <v>940</v>
      </c>
    </row>
    <row r="21" spans="1:14" s="4" customFormat="1" ht="18" customHeight="1">
      <c r="A21" s="133" t="s">
        <v>102</v>
      </c>
      <c r="B21" s="134"/>
      <c r="C21" s="93" t="s">
        <v>103</v>
      </c>
      <c r="D21" s="2"/>
      <c r="E21" s="2"/>
      <c r="F21" s="99">
        <f>F20*20/1000</f>
        <v>4</v>
      </c>
      <c r="G21" s="20" t="s">
        <v>19</v>
      </c>
      <c r="H21" s="42"/>
      <c r="I21" s="26"/>
      <c r="J21" s="127"/>
      <c r="K21" s="128"/>
      <c r="L21" s="114"/>
      <c r="M21" s="114"/>
      <c r="N21" s="115"/>
    </row>
    <row r="22" spans="1:14" s="4" customFormat="1" ht="18" customHeight="1" thickBot="1">
      <c r="A22" s="135"/>
      <c r="B22" s="136"/>
      <c r="C22" s="94"/>
      <c r="D22" s="8"/>
      <c r="E22" s="8"/>
      <c r="F22" s="100"/>
      <c r="G22" s="22"/>
      <c r="H22" s="44"/>
      <c r="I22" s="28"/>
      <c r="J22" s="127"/>
      <c r="K22" s="128"/>
      <c r="L22" s="145"/>
      <c r="M22" s="145"/>
      <c r="N22" s="146"/>
    </row>
    <row r="23" spans="1:14" s="4" customFormat="1" ht="18" customHeight="1">
      <c r="A23" s="131" t="s">
        <v>112</v>
      </c>
      <c r="B23" s="132"/>
      <c r="C23" s="15" t="s">
        <v>41</v>
      </c>
      <c r="D23" s="12"/>
      <c r="E23" s="12"/>
      <c r="F23" s="71">
        <v>98</v>
      </c>
      <c r="G23" s="19" t="s">
        <v>42</v>
      </c>
      <c r="H23" s="41">
        <v>1305</v>
      </c>
      <c r="I23" s="25">
        <f>F24*H23</f>
        <v>1278.8999999999999</v>
      </c>
      <c r="J23" s="127"/>
      <c r="K23" s="128"/>
      <c r="L23" s="91">
        <v>1100</v>
      </c>
      <c r="M23" s="63">
        <f>(H23-L23)/H23</f>
        <v>0.15708812260536398</v>
      </c>
      <c r="N23" s="64">
        <f>(H23-L23)*F24</f>
        <v>200.9</v>
      </c>
    </row>
    <row r="24" spans="1:14" s="4" customFormat="1" ht="18" customHeight="1">
      <c r="A24" s="133" t="s">
        <v>113</v>
      </c>
      <c r="B24" s="134"/>
      <c r="C24" s="16" t="s">
        <v>98</v>
      </c>
      <c r="D24" s="2"/>
      <c r="E24" s="2"/>
      <c r="F24" s="99">
        <f>F23*10/1000</f>
        <v>0.98</v>
      </c>
      <c r="G24" s="20" t="s">
        <v>19</v>
      </c>
      <c r="H24" s="42"/>
      <c r="I24" s="26"/>
      <c r="J24" s="127"/>
      <c r="K24" s="128"/>
      <c r="L24" s="114"/>
      <c r="M24" s="114"/>
      <c r="N24" s="115"/>
    </row>
    <row r="25" spans="1:14" s="4" customFormat="1" ht="18" customHeight="1" thickBot="1">
      <c r="A25" s="138"/>
      <c r="B25" s="148"/>
      <c r="C25" s="18"/>
      <c r="D25" s="8"/>
      <c r="E25" s="8"/>
      <c r="F25" s="100"/>
      <c r="G25" s="22"/>
      <c r="H25" s="44"/>
      <c r="I25" s="28"/>
      <c r="J25" s="127"/>
      <c r="K25" s="128"/>
      <c r="L25" s="145"/>
      <c r="M25" s="145"/>
      <c r="N25" s="146"/>
    </row>
    <row r="26" spans="1:14" s="4" customFormat="1" ht="18" customHeight="1">
      <c r="A26" s="131" t="s">
        <v>58</v>
      </c>
      <c r="B26" s="132"/>
      <c r="C26" s="15" t="s">
        <v>41</v>
      </c>
      <c r="D26" s="12"/>
      <c r="E26" s="12"/>
      <c r="F26" s="71">
        <v>100</v>
      </c>
      <c r="G26" s="19" t="s">
        <v>42</v>
      </c>
      <c r="H26" s="41">
        <v>1335</v>
      </c>
      <c r="I26" s="25">
        <f>F27*H26</f>
        <v>2670</v>
      </c>
      <c r="J26" s="127"/>
      <c r="K26" s="128"/>
      <c r="L26" s="91">
        <v>1100</v>
      </c>
      <c r="M26" s="63">
        <f>(H26-L26)/H26</f>
        <v>0.17602996254681649</v>
      </c>
      <c r="N26" s="64">
        <f>(H26-L26)*F27</f>
        <v>470</v>
      </c>
    </row>
    <row r="27" spans="1:14" s="4" customFormat="1" ht="18" customHeight="1">
      <c r="A27" s="133" t="s">
        <v>59</v>
      </c>
      <c r="B27" s="134"/>
      <c r="C27" s="16" t="s">
        <v>98</v>
      </c>
      <c r="D27" s="2"/>
      <c r="E27" s="2"/>
      <c r="F27" s="99">
        <f>F26*20/1000</f>
        <v>2</v>
      </c>
      <c r="G27" s="20" t="s">
        <v>19</v>
      </c>
      <c r="H27" s="42"/>
      <c r="I27" s="26"/>
      <c r="J27" s="127"/>
      <c r="K27" s="128"/>
      <c r="L27" s="114"/>
      <c r="M27" s="114"/>
      <c r="N27" s="115"/>
    </row>
    <row r="28" spans="1:14" s="4" customFormat="1" ht="18" customHeight="1" thickBot="1">
      <c r="A28" s="138"/>
      <c r="B28" s="148"/>
      <c r="C28" s="18"/>
      <c r="D28" s="8"/>
      <c r="E28" s="8"/>
      <c r="F28" s="100"/>
      <c r="G28" s="22"/>
      <c r="H28" s="44"/>
      <c r="I28" s="28"/>
      <c r="J28" s="127"/>
      <c r="K28" s="128"/>
      <c r="L28" s="145"/>
      <c r="M28" s="145"/>
      <c r="N28" s="146"/>
    </row>
    <row r="29" spans="1:14" s="4" customFormat="1" ht="18" customHeight="1">
      <c r="A29" s="131" t="s">
        <v>78</v>
      </c>
      <c r="B29" s="147"/>
      <c r="C29" s="38" t="s">
        <v>41</v>
      </c>
      <c r="D29" s="12"/>
      <c r="E29" s="12"/>
      <c r="F29" s="71">
        <v>200</v>
      </c>
      <c r="G29" s="19" t="s">
        <v>40</v>
      </c>
      <c r="H29" s="41">
        <v>1415</v>
      </c>
      <c r="I29" s="25">
        <f>F30*H29</f>
        <v>5660</v>
      </c>
      <c r="J29" s="127"/>
      <c r="K29" s="128"/>
      <c r="L29" s="91">
        <v>1180</v>
      </c>
      <c r="M29" s="63">
        <f>(H29-L29)/H29</f>
        <v>0.16607773851590105</v>
      </c>
      <c r="N29" s="64">
        <f>(H29-L29)*F30</f>
        <v>940</v>
      </c>
    </row>
    <row r="30" spans="1:14" s="4" customFormat="1" ht="18" customHeight="1">
      <c r="A30" s="133" t="s">
        <v>79</v>
      </c>
      <c r="B30" s="137"/>
      <c r="C30" s="39" t="s">
        <v>98</v>
      </c>
      <c r="D30" s="2"/>
      <c r="E30" s="2"/>
      <c r="F30" s="99">
        <f>F29*20/1000</f>
        <v>4</v>
      </c>
      <c r="G30" s="20" t="s">
        <v>19</v>
      </c>
      <c r="H30" s="42"/>
      <c r="I30" s="26"/>
      <c r="J30" s="127"/>
      <c r="K30" s="128"/>
      <c r="L30" s="114"/>
      <c r="M30" s="114"/>
      <c r="N30" s="115"/>
    </row>
    <row r="31" spans="1:14" s="4" customFormat="1" ht="18" customHeight="1" thickBot="1">
      <c r="A31" s="138"/>
      <c r="B31" s="139"/>
      <c r="C31" s="40"/>
      <c r="D31" s="8"/>
      <c r="E31" s="8"/>
      <c r="F31" s="100"/>
      <c r="G31" s="22"/>
      <c r="H31" s="44"/>
      <c r="I31" s="28"/>
      <c r="J31" s="127"/>
      <c r="K31" s="128"/>
      <c r="L31" s="145"/>
      <c r="M31" s="145"/>
      <c r="N31" s="146"/>
    </row>
    <row r="32" spans="1:14" s="4" customFormat="1" ht="18" customHeight="1">
      <c r="A32" s="131" t="s">
        <v>86</v>
      </c>
      <c r="B32" s="132"/>
      <c r="C32" s="15" t="s">
        <v>43</v>
      </c>
      <c r="D32" s="12"/>
      <c r="E32" s="48"/>
      <c r="F32" s="72">
        <v>16</v>
      </c>
      <c r="G32" s="50" t="s">
        <v>40</v>
      </c>
      <c r="H32" s="45">
        <v>56</v>
      </c>
      <c r="I32" s="25">
        <f>F32*H32</f>
        <v>896</v>
      </c>
      <c r="J32" s="127"/>
      <c r="K32" s="128"/>
      <c r="L32" s="91">
        <v>44.6</v>
      </c>
      <c r="M32" s="63">
        <f>(H32-L32)/H32</f>
        <v>0.20357142857142854</v>
      </c>
      <c r="N32" s="64">
        <f>(H32-L32)*F32</f>
        <v>182.39999999999998</v>
      </c>
    </row>
    <row r="33" spans="1:21" s="4" customFormat="1" ht="18" customHeight="1">
      <c r="A33" s="133" t="s">
        <v>84</v>
      </c>
      <c r="B33" s="134"/>
      <c r="C33" s="16" t="s">
        <v>44</v>
      </c>
      <c r="D33" s="2"/>
      <c r="E33" s="49"/>
      <c r="F33" s="96">
        <f>(40*250)*F32/1000000</f>
        <v>0.16</v>
      </c>
      <c r="G33" s="51" t="s">
        <v>19</v>
      </c>
      <c r="H33" s="46"/>
      <c r="I33" s="26"/>
      <c r="J33" s="127"/>
      <c r="K33" s="128"/>
      <c r="L33" s="114"/>
      <c r="M33" s="114"/>
      <c r="N33" s="115"/>
    </row>
    <row r="34" spans="1:21" s="4" customFormat="1" ht="18" customHeight="1" thickBot="1">
      <c r="A34" s="135"/>
      <c r="B34" s="136"/>
      <c r="C34" s="17"/>
      <c r="D34" s="14"/>
      <c r="E34" s="53"/>
      <c r="F34" s="97"/>
      <c r="G34" s="52"/>
      <c r="H34" s="54"/>
      <c r="I34" s="27"/>
      <c r="J34" s="127"/>
      <c r="K34" s="128"/>
      <c r="L34" s="145"/>
      <c r="M34" s="145"/>
      <c r="N34" s="146"/>
    </row>
    <row r="35" spans="1:21" s="4" customFormat="1" ht="18" customHeight="1">
      <c r="A35" s="131" t="s">
        <v>120</v>
      </c>
      <c r="B35" s="132"/>
      <c r="C35" s="15" t="s">
        <v>43</v>
      </c>
      <c r="D35" s="12"/>
      <c r="E35" s="48"/>
      <c r="F35" s="72">
        <v>32</v>
      </c>
      <c r="G35" s="50" t="s">
        <v>40</v>
      </c>
      <c r="H35" s="45">
        <v>27</v>
      </c>
      <c r="I35" s="25">
        <f>F35*H35</f>
        <v>864</v>
      </c>
      <c r="J35" s="127"/>
      <c r="K35" s="128"/>
      <c r="M35" s="95"/>
    </row>
    <row r="36" spans="1:21" s="4" customFormat="1" ht="18" customHeight="1">
      <c r="A36" s="133" t="s">
        <v>121</v>
      </c>
      <c r="B36" s="134"/>
      <c r="C36" s="16" t="s">
        <v>44</v>
      </c>
      <c r="D36" s="2"/>
      <c r="E36" s="49"/>
      <c r="F36" s="96">
        <f>(80*60)*F35/1000000</f>
        <v>0.15359999999999999</v>
      </c>
      <c r="G36" s="51" t="s">
        <v>19</v>
      </c>
      <c r="H36" s="46"/>
      <c r="I36" s="26"/>
      <c r="J36" s="127"/>
      <c r="K36" s="128"/>
      <c r="M36" s="95"/>
    </row>
    <row r="37" spans="1:21" s="4" customFormat="1" ht="18" customHeight="1" thickBot="1">
      <c r="A37" s="135"/>
      <c r="B37" s="136"/>
      <c r="C37" s="17"/>
      <c r="D37" s="14"/>
      <c r="E37" s="53"/>
      <c r="F37" s="97"/>
      <c r="G37" s="52"/>
      <c r="H37" s="54"/>
      <c r="I37" s="27"/>
      <c r="J37" s="127"/>
      <c r="K37" s="128"/>
      <c r="M37" s="95"/>
    </row>
    <row r="38" spans="1:21" s="4" customFormat="1" ht="18" customHeight="1">
      <c r="A38" s="131" t="s">
        <v>110</v>
      </c>
      <c r="B38" s="132"/>
      <c r="C38" s="15" t="s">
        <v>43</v>
      </c>
      <c r="D38" s="12"/>
      <c r="E38" s="48"/>
      <c r="F38" s="101">
        <v>16</v>
      </c>
      <c r="G38" s="50" t="s">
        <v>40</v>
      </c>
      <c r="H38" s="45">
        <v>49</v>
      </c>
      <c r="I38" s="25">
        <f>F38*H38</f>
        <v>784</v>
      </c>
      <c r="J38" s="127"/>
      <c r="K38" s="128"/>
      <c r="M38" s="95"/>
    </row>
    <row r="39" spans="1:21" s="4" customFormat="1" ht="18" customHeight="1">
      <c r="A39" s="133" t="s">
        <v>111</v>
      </c>
      <c r="B39" s="134"/>
      <c r="C39" s="16" t="s">
        <v>44</v>
      </c>
      <c r="D39" s="2"/>
      <c r="E39" s="49"/>
      <c r="F39" s="96">
        <f>(500*20)*F38/1000000</f>
        <v>0.16</v>
      </c>
      <c r="G39" s="51" t="s">
        <v>19</v>
      </c>
      <c r="H39" s="46"/>
      <c r="I39" s="26"/>
      <c r="J39" s="127"/>
      <c r="K39" s="128"/>
      <c r="M39" s="95"/>
    </row>
    <row r="40" spans="1:21" s="4" customFormat="1" ht="18" customHeight="1" thickBot="1">
      <c r="A40" s="135"/>
      <c r="B40" s="136"/>
      <c r="C40" s="17"/>
      <c r="D40" s="14"/>
      <c r="E40" s="53"/>
      <c r="F40" s="97"/>
      <c r="G40" s="52"/>
      <c r="H40" s="54"/>
      <c r="I40" s="27"/>
      <c r="J40" s="127"/>
      <c r="K40" s="128"/>
      <c r="M40" s="95"/>
    </row>
    <row r="41" spans="1:21" s="4" customFormat="1" ht="18" customHeight="1">
      <c r="A41" s="131" t="s">
        <v>114</v>
      </c>
      <c r="B41" s="132"/>
      <c r="C41" s="15" t="s">
        <v>43</v>
      </c>
      <c r="D41" s="12"/>
      <c r="E41" s="48"/>
      <c r="F41" s="72">
        <v>16</v>
      </c>
      <c r="G41" s="50" t="s">
        <v>40</v>
      </c>
      <c r="H41" s="45">
        <v>47</v>
      </c>
      <c r="I41" s="25">
        <f>F41*H41</f>
        <v>752</v>
      </c>
      <c r="J41" s="127"/>
      <c r="K41" s="128"/>
      <c r="M41" s="95"/>
    </row>
    <row r="42" spans="1:21" s="4" customFormat="1" ht="18" customHeight="1">
      <c r="A42" s="133" t="s">
        <v>115</v>
      </c>
      <c r="B42" s="134"/>
      <c r="C42" s="16" t="s">
        <v>44</v>
      </c>
      <c r="D42" s="2"/>
      <c r="E42" s="49"/>
      <c r="F42" s="96">
        <f>(500*20)*F41/1000000</f>
        <v>0.16</v>
      </c>
      <c r="G42" s="51" t="s">
        <v>19</v>
      </c>
      <c r="H42" s="46"/>
      <c r="I42" s="26"/>
      <c r="J42" s="127"/>
      <c r="K42" s="128"/>
      <c r="M42" s="95"/>
    </row>
    <row r="43" spans="1:21" s="4" customFormat="1" ht="18" customHeight="1" thickBot="1">
      <c r="A43" s="135"/>
      <c r="B43" s="136"/>
      <c r="C43" s="17"/>
      <c r="D43" s="14"/>
      <c r="E43" s="53"/>
      <c r="F43" s="97"/>
      <c r="G43" s="52"/>
      <c r="H43" s="54"/>
      <c r="I43" s="27"/>
      <c r="J43" s="129"/>
      <c r="K43" s="130"/>
      <c r="M43" s="95"/>
    </row>
    <row r="44" spans="1:21" ht="18" customHeight="1" thickBot="1">
      <c r="A44" s="140" t="s">
        <v>109</v>
      </c>
      <c r="B44" s="141"/>
      <c r="C44" s="141"/>
      <c r="D44" s="141"/>
      <c r="E44" s="142"/>
      <c r="F44" s="108">
        <f>F15+F18+F21+F24+F27+F30+F33+F36+F39+F42</f>
        <v>11.728800000000001</v>
      </c>
      <c r="G44" s="109" t="s">
        <v>19</v>
      </c>
      <c r="H44" s="110" t="s">
        <v>16</v>
      </c>
      <c r="I44" s="111">
        <f>SUM(I14:I43)</f>
        <v>19272.099999999999</v>
      </c>
      <c r="J44" s="137"/>
      <c r="K44" s="137"/>
      <c r="L44" s="57" t="s">
        <v>92</v>
      </c>
      <c r="M44" s="58" t="e">
        <f>SUM(M14,#REF!,#REF!,#REF!,M26,M29,M32,#REF!)/8</f>
        <v>#REF!</v>
      </c>
      <c r="N44" s="65" t="e">
        <f>SUM(N14,#REF!,#REF!,#REF!,N26,N29,N32,#REF!)</f>
        <v>#REF!</v>
      </c>
    </row>
    <row r="45" spans="1:21" s="70" customFormat="1" ht="18" customHeight="1">
      <c r="A45" s="66"/>
      <c r="B45" s="66"/>
      <c r="C45" s="66"/>
      <c r="D45" s="66"/>
      <c r="E45" s="66"/>
      <c r="F45" s="106">
        <f>F14+F17+F20+F23+F26+F29+F32+F35+F38+F41</f>
        <v>774</v>
      </c>
      <c r="G45" s="107" t="s">
        <v>60</v>
      </c>
      <c r="H45" s="102"/>
      <c r="I45" s="103"/>
      <c r="J45" s="68"/>
      <c r="K45" s="68"/>
      <c r="L45" s="67"/>
      <c r="M45" s="69"/>
      <c r="N45" s="67"/>
      <c r="O45" s="1"/>
      <c r="P45" s="1"/>
      <c r="Q45" s="1"/>
      <c r="R45" s="1"/>
      <c r="S45" s="1"/>
    </row>
    <row r="46" spans="1:21">
      <c r="A46" s="2"/>
      <c r="B46" s="2"/>
      <c r="C46" s="4"/>
      <c r="D46" s="4"/>
      <c r="E46" s="4"/>
      <c r="H46" s="104"/>
      <c r="I46" s="105"/>
      <c r="L46" s="75" t="s">
        <v>93</v>
      </c>
      <c r="M46" s="76"/>
      <c r="N46" s="76"/>
      <c r="P46" s="77"/>
      <c r="Q46" s="77"/>
      <c r="R46" s="77"/>
      <c r="S46" s="77"/>
      <c r="T46" s="77"/>
      <c r="U46" s="77"/>
    </row>
    <row r="47" spans="1:21" ht="18" customHeight="1">
      <c r="A47" s="2" t="s">
        <v>20</v>
      </c>
      <c r="B47" s="2" t="s">
        <v>45</v>
      </c>
      <c r="C47" s="4"/>
      <c r="D47" s="2"/>
      <c r="E47" s="2"/>
      <c r="F47" s="2"/>
      <c r="G47" s="2"/>
      <c r="H47" s="2"/>
      <c r="I47" s="2"/>
      <c r="J47" s="2"/>
      <c r="K47" s="2"/>
      <c r="L47" s="2"/>
      <c r="N47" s="9"/>
    </row>
    <row r="48" spans="1:21" ht="18" customHeight="1">
      <c r="A48" s="2" t="s">
        <v>46</v>
      </c>
      <c r="B48" s="2" t="s">
        <v>47</v>
      </c>
      <c r="C48" s="4"/>
      <c r="D48" s="2"/>
      <c r="E48" s="2"/>
      <c r="F48" s="2"/>
      <c r="G48" s="2" t="s">
        <v>27</v>
      </c>
      <c r="H48" s="2"/>
      <c r="I48" s="2"/>
      <c r="J48" s="2"/>
      <c r="K48" s="2"/>
      <c r="L48" s="2"/>
    </row>
    <row r="49" spans="1:15" ht="18" customHeight="1">
      <c r="A49" s="2" t="s">
        <v>48</v>
      </c>
      <c r="B49" s="2" t="s">
        <v>123</v>
      </c>
      <c r="C49" s="2"/>
      <c r="D49" s="2"/>
      <c r="E49" s="2"/>
      <c r="F49" s="2"/>
      <c r="G49" s="2" t="s">
        <v>28</v>
      </c>
      <c r="H49" s="2"/>
      <c r="I49" s="2"/>
      <c r="J49" s="2"/>
      <c r="K49" s="2"/>
      <c r="L49" s="2"/>
    </row>
    <row r="50" spans="1:15" ht="18" customHeight="1">
      <c r="A50" s="2" t="s">
        <v>21</v>
      </c>
      <c r="B50" s="2" t="s">
        <v>49</v>
      </c>
      <c r="C50" s="2"/>
      <c r="D50" s="2"/>
      <c r="E50" s="2"/>
      <c r="F50" s="2"/>
      <c r="G50" s="2" t="s">
        <v>29</v>
      </c>
      <c r="H50" s="2"/>
      <c r="I50" s="2"/>
      <c r="J50" s="2"/>
      <c r="K50" s="2"/>
      <c r="L50" s="2"/>
      <c r="M50" s="2"/>
      <c r="N50" s="2"/>
      <c r="O50" s="2"/>
    </row>
    <row r="51" spans="1:15" ht="18" customHeight="1">
      <c r="A51" s="2" t="s">
        <v>50</v>
      </c>
      <c r="B51" s="2"/>
      <c r="C51" s="2"/>
      <c r="D51" s="2"/>
      <c r="E51" s="2"/>
      <c r="F51" s="2"/>
      <c r="G51" s="2" t="s">
        <v>30</v>
      </c>
      <c r="H51" s="2"/>
      <c r="I51" s="2"/>
      <c r="J51" s="2"/>
      <c r="K51" s="2"/>
      <c r="L51" s="2"/>
      <c r="M51" s="2"/>
      <c r="N51" s="2"/>
      <c r="O51" s="2"/>
    </row>
    <row r="52" spans="1:15" ht="18" customHeight="1">
      <c r="A52" s="2" t="s">
        <v>51</v>
      </c>
      <c r="B52" s="2"/>
      <c r="C52" s="2"/>
      <c r="D52" s="2"/>
      <c r="E52" s="2"/>
      <c r="F52" s="2"/>
      <c r="G52" s="4" t="s">
        <v>22</v>
      </c>
      <c r="H52" s="2" t="s">
        <v>23</v>
      </c>
      <c r="J52" s="2"/>
      <c r="L52" s="2"/>
      <c r="M52" s="2"/>
      <c r="N52" s="2"/>
      <c r="O52" s="2"/>
    </row>
    <row r="53" spans="1:15" ht="21" customHeight="1">
      <c r="A53" s="2" t="s">
        <v>52</v>
      </c>
      <c r="B53" s="2"/>
      <c r="C53" s="2"/>
      <c r="D53" s="2"/>
      <c r="E53" s="2"/>
      <c r="F53" s="2"/>
      <c r="G53" s="4"/>
      <c r="H53" s="2"/>
      <c r="J53" s="2"/>
      <c r="K53" s="2"/>
      <c r="L53" s="2"/>
      <c r="M53" s="2"/>
      <c r="N53" s="2"/>
      <c r="O53" s="2"/>
    </row>
    <row r="54" spans="1:15" ht="18" customHeight="1">
      <c r="A54" s="1" t="s">
        <v>53</v>
      </c>
      <c r="B54" s="2" t="s">
        <v>54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8" customHeight="1">
      <c r="A55" s="2" t="s">
        <v>55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5" ht="18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5" ht="15" customHeight="1"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5" ht="31.5" customHeight="1">
      <c r="A58" s="143" t="s">
        <v>122</v>
      </c>
      <c r="B58" s="143"/>
      <c r="C58" s="143"/>
      <c r="D58" s="143"/>
      <c r="E58" s="2"/>
      <c r="H58" s="8"/>
      <c r="I58" s="8"/>
      <c r="J58" s="8"/>
      <c r="K58" s="2"/>
      <c r="L58" s="2"/>
    </row>
    <row r="59" spans="1:15" ht="15" customHeight="1">
      <c r="A59" s="10" t="s">
        <v>24</v>
      </c>
      <c r="B59" s="10"/>
      <c r="C59" s="10"/>
      <c r="D59" s="10"/>
      <c r="E59" s="4"/>
      <c r="H59" s="144" t="s">
        <v>25</v>
      </c>
      <c r="I59" s="144"/>
      <c r="J59" s="144"/>
      <c r="K59" s="2"/>
      <c r="L59" s="2"/>
    </row>
    <row r="60" spans="1:15" ht="1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5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</row>
    <row r="62" spans="1:15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7"/>
    </row>
    <row r="63" spans="1:15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37"/>
    </row>
  </sheetData>
  <mergeCells count="52">
    <mergeCell ref="L30:N31"/>
    <mergeCell ref="A23:B23"/>
    <mergeCell ref="A24:B24"/>
    <mergeCell ref="L24:N25"/>
    <mergeCell ref="A25:B25"/>
    <mergeCell ref="A26:B26"/>
    <mergeCell ref="A27:B27"/>
    <mergeCell ref="A28:B28"/>
    <mergeCell ref="A17:B17"/>
    <mergeCell ref="A18:B18"/>
    <mergeCell ref="L18:N19"/>
    <mergeCell ref="A19:B19"/>
    <mergeCell ref="A29:B29"/>
    <mergeCell ref="L21:N22"/>
    <mergeCell ref="A22:B22"/>
    <mergeCell ref="A34:B34"/>
    <mergeCell ref="L33:N34"/>
    <mergeCell ref="A32:B32"/>
    <mergeCell ref="A33:B33"/>
    <mergeCell ref="A37:B37"/>
    <mergeCell ref="A63:K63"/>
    <mergeCell ref="A61:K61"/>
    <mergeCell ref="A62:K62"/>
    <mergeCell ref="A31:B31"/>
    <mergeCell ref="A44:E44"/>
    <mergeCell ref="A58:D58"/>
    <mergeCell ref="J44:K44"/>
    <mergeCell ref="H59:J59"/>
    <mergeCell ref="A38:B38"/>
    <mergeCell ref="A39:B39"/>
    <mergeCell ref="A40:B40"/>
    <mergeCell ref="A41:B41"/>
    <mergeCell ref="A42:B42"/>
    <mergeCell ref="A43:B43"/>
    <mergeCell ref="A35:B35"/>
    <mergeCell ref="A36:B36"/>
    <mergeCell ref="M12:M13"/>
    <mergeCell ref="L15:N16"/>
    <mergeCell ref="A1:K1"/>
    <mergeCell ref="A3:K3"/>
    <mergeCell ref="A12:B13"/>
    <mergeCell ref="C12:E13"/>
    <mergeCell ref="F12:G13"/>
    <mergeCell ref="J12:K13"/>
    <mergeCell ref="J14:K43"/>
    <mergeCell ref="A14:B14"/>
    <mergeCell ref="A15:B15"/>
    <mergeCell ref="A16:B16"/>
    <mergeCell ref="A30:B30"/>
    <mergeCell ref="A20:B20"/>
    <mergeCell ref="A21:B21"/>
    <mergeCell ref="L27:N28"/>
  </mergeCells>
  <pageMargins left="0.25" right="0.25" top="0.75" bottom="0.75" header="0.3" footer="0.3"/>
  <pageSetup paperSize="9" scale="64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9173D-91D3-4FDD-992E-DD0B3BC2C3C1}">
  <sheetPr>
    <pageSetUpPr fitToPage="1"/>
  </sheetPr>
  <dimension ref="A1:N121"/>
  <sheetViews>
    <sheetView zoomScale="70" zoomScaleNormal="70" workbookViewId="0">
      <selection activeCell="J14" sqref="J14"/>
    </sheetView>
  </sheetViews>
  <sheetFormatPr defaultRowHeight="14.5"/>
  <cols>
    <col min="1" max="1" width="29.7265625" customWidth="1"/>
    <col min="2" max="2" width="27.1796875" customWidth="1"/>
    <col min="3" max="12" width="9" customWidth="1"/>
  </cols>
  <sheetData>
    <row r="1" spans="1:14" ht="21.5">
      <c r="B1" s="29" t="s">
        <v>62</v>
      </c>
      <c r="C1" s="149" t="s">
        <v>63</v>
      </c>
      <c r="D1" s="149"/>
      <c r="E1" s="149"/>
      <c r="F1" s="149"/>
      <c r="G1" s="149"/>
      <c r="H1" s="29" t="s">
        <v>64</v>
      </c>
      <c r="I1" s="29" t="s">
        <v>65</v>
      </c>
      <c r="J1" s="29" t="s">
        <v>19</v>
      </c>
      <c r="K1" s="30" t="s">
        <v>66</v>
      </c>
      <c r="L1" s="30" t="s">
        <v>67</v>
      </c>
      <c r="M1" s="74" t="s">
        <v>116</v>
      </c>
      <c r="N1" s="31"/>
    </row>
    <row r="2" spans="1:14" ht="20.5">
      <c r="A2" s="34" t="s">
        <v>74</v>
      </c>
      <c r="B2" s="32" t="s">
        <v>75</v>
      </c>
      <c r="C2" s="32">
        <v>30</v>
      </c>
      <c r="D2" s="32" t="s">
        <v>69</v>
      </c>
      <c r="E2" s="32">
        <v>39.299999999999997</v>
      </c>
      <c r="F2" s="32" t="s">
        <v>69</v>
      </c>
      <c r="G2" s="32">
        <v>23</v>
      </c>
      <c r="H2" s="32">
        <v>192</v>
      </c>
      <c r="I2" s="32">
        <f t="shared" ref="I2:I12" si="0">C2*E2*G2*H2/1000000</f>
        <v>5.2064640000000004</v>
      </c>
      <c r="J2" s="32">
        <f t="shared" ref="J2:J12" si="1">H2*L2/1000</f>
        <v>0.35520000000000007</v>
      </c>
      <c r="K2" s="33">
        <v>1.2</v>
      </c>
      <c r="L2" s="33">
        <v>1.85</v>
      </c>
    </row>
    <row r="3" spans="1:14" ht="20.5">
      <c r="A3" s="34" t="s">
        <v>85</v>
      </c>
      <c r="B3" s="32" t="s">
        <v>75</v>
      </c>
      <c r="C3" s="32">
        <v>30</v>
      </c>
      <c r="D3" s="32" t="s">
        <v>69</v>
      </c>
      <c r="E3" s="32">
        <v>39.299999999999997</v>
      </c>
      <c r="F3" s="32" t="s">
        <v>69</v>
      </c>
      <c r="G3" s="32">
        <v>23</v>
      </c>
      <c r="H3" s="32">
        <v>96</v>
      </c>
      <c r="I3" s="32">
        <f t="shared" si="0"/>
        <v>2.6032320000000002</v>
      </c>
      <c r="J3" s="32">
        <f t="shared" si="1"/>
        <v>0.17760000000000004</v>
      </c>
      <c r="K3" s="33">
        <v>1.2</v>
      </c>
      <c r="L3" s="33">
        <v>1.85</v>
      </c>
    </row>
    <row r="4" spans="1:14" ht="20.5">
      <c r="A4" s="34" t="s">
        <v>76</v>
      </c>
      <c r="B4" s="32" t="s">
        <v>75</v>
      </c>
      <c r="C4" s="32">
        <v>30</v>
      </c>
      <c r="D4" s="32" t="s">
        <v>69</v>
      </c>
      <c r="E4" s="32">
        <v>39.299999999999997</v>
      </c>
      <c r="F4" s="32" t="s">
        <v>69</v>
      </c>
      <c r="G4" s="32">
        <v>23</v>
      </c>
      <c r="H4" s="32">
        <v>96</v>
      </c>
      <c r="I4" s="32">
        <f t="shared" si="0"/>
        <v>2.6032320000000002</v>
      </c>
      <c r="J4" s="32">
        <f t="shared" si="1"/>
        <v>0.17760000000000004</v>
      </c>
      <c r="K4" s="33">
        <v>1.2</v>
      </c>
      <c r="L4" s="33">
        <v>1.85</v>
      </c>
    </row>
    <row r="5" spans="1:14" ht="20.5">
      <c r="A5" s="34" t="s">
        <v>80</v>
      </c>
      <c r="B5" s="32" t="s">
        <v>83</v>
      </c>
      <c r="C5" s="32">
        <v>40</v>
      </c>
      <c r="D5" s="32" t="s">
        <v>69</v>
      </c>
      <c r="E5" s="32">
        <v>60</v>
      </c>
      <c r="F5" s="32" t="s">
        <v>69</v>
      </c>
      <c r="G5" s="32">
        <v>15</v>
      </c>
      <c r="H5" s="32">
        <v>150</v>
      </c>
      <c r="I5" s="32">
        <f t="shared" si="0"/>
        <v>5.4</v>
      </c>
      <c r="J5" s="32">
        <f t="shared" si="1"/>
        <v>3.105</v>
      </c>
      <c r="K5" s="33">
        <v>20</v>
      </c>
      <c r="L5" s="33">
        <v>20.7</v>
      </c>
    </row>
    <row r="6" spans="1:14" ht="20.5">
      <c r="A6" s="34" t="s">
        <v>80</v>
      </c>
      <c r="B6" s="32" t="s">
        <v>82</v>
      </c>
      <c r="C6" s="32">
        <v>35</v>
      </c>
      <c r="D6" s="32" t="s">
        <v>69</v>
      </c>
      <c r="E6" s="32">
        <v>54</v>
      </c>
      <c r="F6" s="32" t="s">
        <v>69</v>
      </c>
      <c r="G6" s="32">
        <v>8</v>
      </c>
      <c r="H6" s="32">
        <v>98</v>
      </c>
      <c r="I6" s="32">
        <f t="shared" si="0"/>
        <v>1.48176</v>
      </c>
      <c r="J6" s="32">
        <f t="shared" si="1"/>
        <v>0.98490000000000011</v>
      </c>
      <c r="K6" s="33">
        <v>10</v>
      </c>
      <c r="L6" s="33">
        <v>10.050000000000001</v>
      </c>
      <c r="M6" s="47"/>
    </row>
    <row r="7" spans="1:14" ht="20.5">
      <c r="A7" s="35" t="s">
        <v>77</v>
      </c>
      <c r="B7" s="32" t="s">
        <v>68</v>
      </c>
      <c r="C7" s="32">
        <v>38</v>
      </c>
      <c r="D7" s="32" t="s">
        <v>69</v>
      </c>
      <c r="E7" s="32">
        <v>47</v>
      </c>
      <c r="F7" s="32" t="s">
        <v>69</v>
      </c>
      <c r="G7" s="32">
        <v>12</v>
      </c>
      <c r="H7" s="32">
        <v>100</v>
      </c>
      <c r="I7" s="32">
        <f t="shared" si="0"/>
        <v>2.1432000000000002</v>
      </c>
      <c r="J7" s="32">
        <f t="shared" si="1"/>
        <v>2.0249999999999999</v>
      </c>
      <c r="K7" s="33">
        <v>20</v>
      </c>
      <c r="L7" s="33">
        <v>20.25</v>
      </c>
    </row>
    <row r="8" spans="1:14" ht="20.5">
      <c r="A8" s="34" t="s">
        <v>80</v>
      </c>
      <c r="B8" s="32" t="s">
        <v>81</v>
      </c>
      <c r="C8" s="32">
        <v>38</v>
      </c>
      <c r="D8" s="32" t="s">
        <v>69</v>
      </c>
      <c r="E8" s="32">
        <v>46</v>
      </c>
      <c r="F8" s="32" t="s">
        <v>69</v>
      </c>
      <c r="G8" s="32">
        <v>18</v>
      </c>
      <c r="H8" s="32">
        <v>50</v>
      </c>
      <c r="I8" s="32">
        <f t="shared" si="0"/>
        <v>1.5731999999999999</v>
      </c>
      <c r="J8" s="32">
        <f t="shared" si="1"/>
        <v>1.0249999999999999</v>
      </c>
      <c r="K8" s="33">
        <v>20</v>
      </c>
      <c r="L8" s="33">
        <v>20.5</v>
      </c>
      <c r="M8" s="47"/>
    </row>
    <row r="9" spans="1:14" ht="19.899999999999999" customHeight="1">
      <c r="A9" s="34" t="s">
        <v>72</v>
      </c>
      <c r="B9" s="32" t="s">
        <v>70</v>
      </c>
      <c r="C9" s="32">
        <v>48</v>
      </c>
      <c r="D9" s="32" t="s">
        <v>69</v>
      </c>
      <c r="E9" s="32">
        <v>51</v>
      </c>
      <c r="F9" s="32" t="s">
        <v>69</v>
      </c>
      <c r="G9" s="32">
        <v>40</v>
      </c>
      <c r="H9" s="32">
        <v>32</v>
      </c>
      <c r="I9" s="32">
        <f t="shared" si="0"/>
        <v>3.1334399999999998</v>
      </c>
      <c r="J9" s="32">
        <f t="shared" si="1"/>
        <v>0.34048</v>
      </c>
      <c r="K9" s="33">
        <v>10</v>
      </c>
      <c r="L9" s="33">
        <v>10.64</v>
      </c>
    </row>
    <row r="10" spans="1:14" ht="19.899999999999999" customHeight="1">
      <c r="A10" s="34" t="s">
        <v>72</v>
      </c>
      <c r="B10" s="32" t="s">
        <v>87</v>
      </c>
      <c r="C10" s="32">
        <v>37.5</v>
      </c>
      <c r="D10" s="32" t="s">
        <v>69</v>
      </c>
      <c r="E10" s="32">
        <v>63.5</v>
      </c>
      <c r="F10" s="32" t="s">
        <v>69</v>
      </c>
      <c r="G10" s="32">
        <v>18.5</v>
      </c>
      <c r="H10" s="32"/>
      <c r="I10" s="32">
        <f t="shared" si="0"/>
        <v>0</v>
      </c>
      <c r="J10" s="32">
        <f t="shared" si="1"/>
        <v>0</v>
      </c>
      <c r="K10" s="33">
        <v>9.6</v>
      </c>
      <c r="L10" s="33">
        <v>10.5</v>
      </c>
    </row>
    <row r="11" spans="1:14" ht="20.5">
      <c r="A11" s="34" t="s">
        <v>72</v>
      </c>
      <c r="B11" s="32" t="s">
        <v>71</v>
      </c>
      <c r="C11" s="32">
        <v>48</v>
      </c>
      <c r="D11" s="32" t="s">
        <v>69</v>
      </c>
      <c r="E11" s="32">
        <v>48</v>
      </c>
      <c r="F11" s="32" t="s">
        <v>69</v>
      </c>
      <c r="G11" s="32">
        <v>48</v>
      </c>
      <c r="H11" s="56">
        <v>16</v>
      </c>
      <c r="I11" s="32">
        <f t="shared" si="0"/>
        <v>1.7694719999999999</v>
      </c>
      <c r="J11" s="32">
        <f t="shared" si="1"/>
        <v>0.17024</v>
      </c>
      <c r="K11" s="33">
        <v>10</v>
      </c>
      <c r="L11" s="33">
        <v>10.64</v>
      </c>
    </row>
    <row r="12" spans="1:14" ht="20.5">
      <c r="A12" s="79" t="s">
        <v>72</v>
      </c>
      <c r="B12" s="80" t="s">
        <v>73</v>
      </c>
      <c r="C12" s="80">
        <v>39.5</v>
      </c>
      <c r="D12" s="80" t="s">
        <v>69</v>
      </c>
      <c r="E12" s="80">
        <v>57</v>
      </c>
      <c r="F12" s="80" t="s">
        <v>69</v>
      </c>
      <c r="G12" s="80">
        <v>47</v>
      </c>
      <c r="H12" s="81">
        <v>16</v>
      </c>
      <c r="I12" s="80">
        <f t="shared" si="0"/>
        <v>1.693128</v>
      </c>
      <c r="J12" s="80">
        <f t="shared" si="1"/>
        <v>0.17024</v>
      </c>
      <c r="K12" s="82">
        <v>10</v>
      </c>
      <c r="L12" s="82">
        <v>10.64</v>
      </c>
    </row>
    <row r="13" spans="1:14" ht="20.5">
      <c r="A13" s="78"/>
      <c r="B13" s="80"/>
      <c r="C13" s="80"/>
      <c r="D13" s="80"/>
      <c r="E13" s="80"/>
      <c r="F13" s="80"/>
      <c r="G13" s="80"/>
      <c r="H13" s="81">
        <f>SUM(H2:H12)</f>
        <v>846</v>
      </c>
      <c r="I13" s="80">
        <f>SUM(I2:I12)</f>
        <v>27.607128000000003</v>
      </c>
      <c r="J13" s="80">
        <f>SUM(J2:J12)</f>
        <v>8.5312599999999996</v>
      </c>
      <c r="K13" s="82"/>
      <c r="L13" s="82"/>
    </row>
    <row r="14" spans="1:14" ht="20.5">
      <c r="A14" s="78"/>
      <c r="B14" s="80"/>
      <c r="C14" s="80"/>
      <c r="D14" s="80"/>
      <c r="E14" s="80"/>
      <c r="F14" s="80"/>
      <c r="G14" s="80"/>
      <c r="H14" s="81"/>
      <c r="I14" s="80"/>
      <c r="J14" s="80"/>
      <c r="K14" s="82"/>
      <c r="L14" s="82"/>
    </row>
    <row r="15" spans="1:14" ht="21.5">
      <c r="B15" s="29" t="s">
        <v>62</v>
      </c>
      <c r="C15" s="149" t="s">
        <v>63</v>
      </c>
      <c r="D15" s="149"/>
      <c r="E15" s="149"/>
      <c r="F15" s="149"/>
      <c r="G15" s="149"/>
      <c r="H15" s="29" t="s">
        <v>64</v>
      </c>
      <c r="I15" s="29" t="s">
        <v>65</v>
      </c>
      <c r="J15" s="29" t="s">
        <v>19</v>
      </c>
      <c r="K15" s="30" t="s">
        <v>66</v>
      </c>
      <c r="L15" s="30" t="s">
        <v>67</v>
      </c>
      <c r="M15" s="74" t="s">
        <v>108</v>
      </c>
      <c r="N15" s="31"/>
    </row>
    <row r="16" spans="1:14" ht="20.5">
      <c r="A16" s="34" t="s">
        <v>74</v>
      </c>
      <c r="B16" s="32" t="s">
        <v>75</v>
      </c>
      <c r="C16" s="32">
        <v>30</v>
      </c>
      <c r="D16" s="32" t="s">
        <v>69</v>
      </c>
      <c r="E16" s="32">
        <v>39.299999999999997</v>
      </c>
      <c r="F16" s="32" t="s">
        <v>69</v>
      </c>
      <c r="G16" s="32">
        <v>23</v>
      </c>
      <c r="H16" s="32">
        <v>192</v>
      </c>
      <c r="I16" s="32">
        <f t="shared" ref="I16:I26" si="2">C16*E16*G16*H16/1000000</f>
        <v>5.2064640000000004</v>
      </c>
      <c r="J16" s="32">
        <f t="shared" ref="J16:J26" si="3">H16*L16/1000</f>
        <v>0.35520000000000007</v>
      </c>
      <c r="K16" s="33">
        <v>1.2</v>
      </c>
      <c r="L16" s="33">
        <v>1.85</v>
      </c>
    </row>
    <row r="17" spans="1:14" ht="20.5">
      <c r="A17" s="34" t="s">
        <v>85</v>
      </c>
      <c r="B17" s="32" t="s">
        <v>75</v>
      </c>
      <c r="C17" s="32">
        <v>30</v>
      </c>
      <c r="D17" s="32" t="s">
        <v>69</v>
      </c>
      <c r="E17" s="32">
        <v>39.299999999999997</v>
      </c>
      <c r="F17" s="32" t="s">
        <v>69</v>
      </c>
      <c r="G17" s="32">
        <v>23</v>
      </c>
      <c r="H17" s="32">
        <v>48</v>
      </c>
      <c r="I17" s="32">
        <f t="shared" si="2"/>
        <v>1.3016160000000001</v>
      </c>
      <c r="J17" s="32">
        <f t="shared" si="3"/>
        <v>8.8800000000000018E-2</v>
      </c>
      <c r="K17" s="33">
        <v>1.2</v>
      </c>
      <c r="L17" s="33">
        <v>1.85</v>
      </c>
    </row>
    <row r="18" spans="1:14" ht="20.5">
      <c r="A18" s="34" t="s">
        <v>76</v>
      </c>
      <c r="B18" s="32" t="s">
        <v>75</v>
      </c>
      <c r="C18" s="32">
        <v>30</v>
      </c>
      <c r="D18" s="32" t="s">
        <v>69</v>
      </c>
      <c r="E18" s="32">
        <v>39.299999999999997</v>
      </c>
      <c r="F18" s="32" t="s">
        <v>69</v>
      </c>
      <c r="G18" s="32">
        <v>23</v>
      </c>
      <c r="H18" s="32">
        <v>96</v>
      </c>
      <c r="I18" s="32">
        <f t="shared" si="2"/>
        <v>2.6032320000000002</v>
      </c>
      <c r="J18" s="32">
        <f t="shared" si="3"/>
        <v>0.17760000000000004</v>
      </c>
      <c r="K18" s="33">
        <v>1.2</v>
      </c>
      <c r="L18" s="33">
        <v>1.85</v>
      </c>
    </row>
    <row r="19" spans="1:14" ht="20.5">
      <c r="A19" s="34" t="s">
        <v>80</v>
      </c>
      <c r="B19" s="32" t="s">
        <v>83</v>
      </c>
      <c r="C19" s="32">
        <v>40</v>
      </c>
      <c r="D19" s="32" t="s">
        <v>69</v>
      </c>
      <c r="E19" s="32">
        <v>60</v>
      </c>
      <c r="F19" s="32" t="s">
        <v>69</v>
      </c>
      <c r="G19" s="32">
        <v>15</v>
      </c>
      <c r="H19" s="32">
        <v>50</v>
      </c>
      <c r="I19" s="32">
        <f t="shared" si="2"/>
        <v>1.8</v>
      </c>
      <c r="J19" s="32">
        <f t="shared" si="3"/>
        <v>1.0349999999999999</v>
      </c>
      <c r="K19" s="33">
        <v>20</v>
      </c>
      <c r="L19" s="33">
        <v>20.7</v>
      </c>
    </row>
    <row r="20" spans="1:14" ht="20.5">
      <c r="A20" s="34" t="s">
        <v>80</v>
      </c>
      <c r="B20" s="32" t="s">
        <v>82</v>
      </c>
      <c r="C20" s="32">
        <v>35</v>
      </c>
      <c r="D20" s="32" t="s">
        <v>69</v>
      </c>
      <c r="E20" s="32">
        <v>54</v>
      </c>
      <c r="F20" s="32" t="s">
        <v>69</v>
      </c>
      <c r="G20" s="32">
        <v>8</v>
      </c>
      <c r="H20" s="32"/>
      <c r="I20" s="32">
        <f t="shared" si="2"/>
        <v>0</v>
      </c>
      <c r="J20" s="32">
        <f t="shared" si="3"/>
        <v>0</v>
      </c>
      <c r="K20" s="33">
        <v>10</v>
      </c>
      <c r="L20" s="33">
        <v>10.050000000000001</v>
      </c>
      <c r="M20" s="47"/>
    </row>
    <row r="21" spans="1:14" ht="20.5">
      <c r="A21" s="35" t="s">
        <v>77</v>
      </c>
      <c r="B21" s="32" t="s">
        <v>68</v>
      </c>
      <c r="C21" s="32">
        <v>38</v>
      </c>
      <c r="D21" s="32" t="s">
        <v>69</v>
      </c>
      <c r="E21" s="32">
        <v>47</v>
      </c>
      <c r="F21" s="32" t="s">
        <v>69</v>
      </c>
      <c r="G21" s="32">
        <v>12</v>
      </c>
      <c r="H21" s="32">
        <v>250</v>
      </c>
      <c r="I21" s="32">
        <f t="shared" si="2"/>
        <v>5.3579999999999997</v>
      </c>
      <c r="J21" s="32">
        <f t="shared" si="3"/>
        <v>5.0625</v>
      </c>
      <c r="K21" s="33">
        <v>20</v>
      </c>
      <c r="L21" s="33">
        <v>20.25</v>
      </c>
    </row>
    <row r="22" spans="1:14" ht="20.5">
      <c r="A22" s="34" t="s">
        <v>80</v>
      </c>
      <c r="B22" s="32" t="s">
        <v>81</v>
      </c>
      <c r="C22" s="32">
        <v>38</v>
      </c>
      <c r="D22" s="32" t="s">
        <v>69</v>
      </c>
      <c r="E22" s="32">
        <v>46</v>
      </c>
      <c r="F22" s="32" t="s">
        <v>69</v>
      </c>
      <c r="G22" s="32">
        <v>18</v>
      </c>
      <c r="H22" s="32">
        <v>150</v>
      </c>
      <c r="I22" s="32">
        <f t="shared" si="2"/>
        <v>4.7195999999999998</v>
      </c>
      <c r="J22" s="32">
        <f t="shared" si="3"/>
        <v>3.0750000000000002</v>
      </c>
      <c r="K22" s="33">
        <v>20</v>
      </c>
      <c r="L22" s="33">
        <v>20.5</v>
      </c>
      <c r="M22" s="47"/>
    </row>
    <row r="23" spans="1:14" ht="19.899999999999999" customHeight="1">
      <c r="A23" s="34" t="s">
        <v>72</v>
      </c>
      <c r="B23" s="32" t="s">
        <v>70</v>
      </c>
      <c r="C23" s="32">
        <v>48</v>
      </c>
      <c r="D23" s="32" t="s">
        <v>69</v>
      </c>
      <c r="E23" s="32">
        <v>51</v>
      </c>
      <c r="F23" s="32" t="s">
        <v>69</v>
      </c>
      <c r="G23" s="32">
        <v>40</v>
      </c>
      <c r="H23" s="32">
        <v>16</v>
      </c>
      <c r="I23" s="32">
        <f t="shared" si="2"/>
        <v>1.5667199999999999</v>
      </c>
      <c r="J23" s="32">
        <f t="shared" si="3"/>
        <v>0.17024</v>
      </c>
      <c r="K23" s="33">
        <v>10</v>
      </c>
      <c r="L23" s="33">
        <v>10.64</v>
      </c>
    </row>
    <row r="24" spans="1:14" ht="19.899999999999999" customHeight="1">
      <c r="A24" s="34" t="s">
        <v>72</v>
      </c>
      <c r="B24" s="32" t="s">
        <v>87</v>
      </c>
      <c r="C24" s="32">
        <v>37.5</v>
      </c>
      <c r="D24" s="32" t="s">
        <v>69</v>
      </c>
      <c r="E24" s="32">
        <v>63.5</v>
      </c>
      <c r="F24" s="32" t="s">
        <v>69</v>
      </c>
      <c r="G24" s="32">
        <v>18.5</v>
      </c>
      <c r="H24" s="32"/>
      <c r="I24" s="32">
        <f t="shared" si="2"/>
        <v>0</v>
      </c>
      <c r="J24" s="32">
        <f t="shared" si="3"/>
        <v>0</v>
      </c>
      <c r="K24" s="33">
        <v>9.6</v>
      </c>
      <c r="L24" s="33">
        <v>10.5</v>
      </c>
    </row>
    <row r="25" spans="1:14" ht="20.5">
      <c r="A25" s="34" t="s">
        <v>72</v>
      </c>
      <c r="B25" s="32" t="s">
        <v>71</v>
      </c>
      <c r="C25" s="32">
        <v>48</v>
      </c>
      <c r="D25" s="32" t="s">
        <v>69</v>
      </c>
      <c r="E25" s="32">
        <v>48</v>
      </c>
      <c r="F25" s="32" t="s">
        <v>69</v>
      </c>
      <c r="G25" s="32">
        <v>48</v>
      </c>
      <c r="H25" s="56">
        <v>16</v>
      </c>
      <c r="I25" s="32">
        <f t="shared" si="2"/>
        <v>1.7694719999999999</v>
      </c>
      <c r="J25" s="32">
        <f t="shared" si="3"/>
        <v>0.17024</v>
      </c>
      <c r="K25" s="33">
        <v>10</v>
      </c>
      <c r="L25" s="33">
        <v>10.64</v>
      </c>
    </row>
    <row r="26" spans="1:14" ht="20.5">
      <c r="A26" s="79" t="s">
        <v>72</v>
      </c>
      <c r="B26" s="80" t="s">
        <v>73</v>
      </c>
      <c r="C26" s="80">
        <v>39.5</v>
      </c>
      <c r="D26" s="80" t="s">
        <v>69</v>
      </c>
      <c r="E26" s="80">
        <v>57</v>
      </c>
      <c r="F26" s="80" t="s">
        <v>69</v>
      </c>
      <c r="G26" s="80">
        <v>47</v>
      </c>
      <c r="H26" s="81"/>
      <c r="I26" s="80">
        <f t="shared" si="2"/>
        <v>0</v>
      </c>
      <c r="J26" s="80">
        <f t="shared" si="3"/>
        <v>0</v>
      </c>
      <c r="K26" s="82">
        <v>10</v>
      </c>
      <c r="L26" s="82">
        <v>10.64</v>
      </c>
    </row>
    <row r="27" spans="1:14" ht="20.5">
      <c r="A27" s="78"/>
      <c r="B27" s="80"/>
      <c r="C27" s="80"/>
      <c r="D27" s="80"/>
      <c r="E27" s="80"/>
      <c r="F27" s="80"/>
      <c r="G27" s="80"/>
      <c r="H27" s="81">
        <f>SUM(H16:H26)</f>
        <v>818</v>
      </c>
      <c r="I27" s="80">
        <f>SUM(I16:I26)</f>
        <v>24.325104000000003</v>
      </c>
      <c r="J27" s="80">
        <f>SUM(J16:J26)</f>
        <v>10.13458</v>
      </c>
      <c r="K27" s="82"/>
      <c r="L27" s="82"/>
    </row>
    <row r="28" spans="1:14" ht="21.5">
      <c r="B28" s="29" t="s">
        <v>62</v>
      </c>
      <c r="C28" s="149" t="s">
        <v>63</v>
      </c>
      <c r="D28" s="149"/>
      <c r="E28" s="149"/>
      <c r="F28" s="149"/>
      <c r="G28" s="149"/>
      <c r="H28" s="29" t="s">
        <v>64</v>
      </c>
      <c r="I28" s="29" t="s">
        <v>65</v>
      </c>
      <c r="J28" s="29" t="s">
        <v>19</v>
      </c>
      <c r="K28" s="30" t="s">
        <v>66</v>
      </c>
      <c r="L28" s="30" t="s">
        <v>67</v>
      </c>
      <c r="M28" s="74" t="s">
        <v>104</v>
      </c>
      <c r="N28" s="31"/>
    </row>
    <row r="29" spans="1:14" ht="20.5">
      <c r="A29" s="34" t="s">
        <v>74</v>
      </c>
      <c r="B29" s="32" t="s">
        <v>75</v>
      </c>
      <c r="C29" s="32">
        <v>30</v>
      </c>
      <c r="D29" s="32" t="s">
        <v>69</v>
      </c>
      <c r="E29" s="32">
        <v>39.299999999999997</v>
      </c>
      <c r="F29" s="32" t="s">
        <v>69</v>
      </c>
      <c r="G29" s="32">
        <v>23</v>
      </c>
      <c r="H29" s="32">
        <v>48</v>
      </c>
      <c r="I29" s="32">
        <f t="shared" ref="I29:I39" si="4">C29*E29*G29*H29/1000000</f>
        <v>1.3016160000000001</v>
      </c>
      <c r="J29" s="32">
        <f t="shared" ref="J29:J39" si="5">H29*L29/1000</f>
        <v>8.8800000000000018E-2</v>
      </c>
      <c r="K29" s="33">
        <v>1.2</v>
      </c>
      <c r="L29" s="33">
        <v>1.85</v>
      </c>
    </row>
    <row r="30" spans="1:14" ht="20.5">
      <c r="A30" s="34" t="s">
        <v>85</v>
      </c>
      <c r="B30" s="32" t="s">
        <v>75</v>
      </c>
      <c r="C30" s="32">
        <v>30</v>
      </c>
      <c r="D30" s="32" t="s">
        <v>69</v>
      </c>
      <c r="E30" s="32">
        <v>39.299999999999997</v>
      </c>
      <c r="F30" s="32" t="s">
        <v>69</v>
      </c>
      <c r="G30" s="32">
        <v>23</v>
      </c>
      <c r="H30" s="32">
        <v>48</v>
      </c>
      <c r="I30" s="32">
        <f t="shared" si="4"/>
        <v>1.3016160000000001</v>
      </c>
      <c r="J30" s="32">
        <f t="shared" si="5"/>
        <v>8.8800000000000018E-2</v>
      </c>
      <c r="K30" s="33">
        <v>1.2</v>
      </c>
      <c r="L30" s="33">
        <v>1.85</v>
      </c>
    </row>
    <row r="31" spans="1:14" ht="20.5">
      <c r="A31" s="34" t="s">
        <v>76</v>
      </c>
      <c r="B31" s="32" t="s">
        <v>75</v>
      </c>
      <c r="C31" s="32">
        <v>30</v>
      </c>
      <c r="D31" s="32" t="s">
        <v>69</v>
      </c>
      <c r="E31" s="32">
        <v>39.299999999999997</v>
      </c>
      <c r="F31" s="32" t="s">
        <v>69</v>
      </c>
      <c r="G31" s="32">
        <v>23</v>
      </c>
      <c r="H31" s="32"/>
      <c r="I31" s="32">
        <f t="shared" si="4"/>
        <v>0</v>
      </c>
      <c r="J31" s="32">
        <f t="shared" si="5"/>
        <v>0</v>
      </c>
      <c r="K31" s="33">
        <v>1.2</v>
      </c>
      <c r="L31" s="33">
        <v>1.85</v>
      </c>
    </row>
    <row r="32" spans="1:14" ht="20.5">
      <c r="A32" s="34" t="s">
        <v>80</v>
      </c>
      <c r="B32" s="32" t="s">
        <v>83</v>
      </c>
      <c r="C32" s="32">
        <v>40</v>
      </c>
      <c r="D32" s="32" t="s">
        <v>69</v>
      </c>
      <c r="E32" s="32">
        <v>60</v>
      </c>
      <c r="F32" s="32" t="s">
        <v>69</v>
      </c>
      <c r="G32" s="32">
        <v>15</v>
      </c>
      <c r="H32" s="32">
        <v>150</v>
      </c>
      <c r="I32" s="32">
        <f t="shared" si="4"/>
        <v>5.4</v>
      </c>
      <c r="J32" s="32">
        <f t="shared" si="5"/>
        <v>3.105</v>
      </c>
      <c r="K32" s="33">
        <v>20</v>
      </c>
      <c r="L32" s="33">
        <v>20.7</v>
      </c>
    </row>
    <row r="33" spans="1:14" ht="20.5">
      <c r="A33" s="34" t="s">
        <v>80</v>
      </c>
      <c r="B33" s="32" t="s">
        <v>82</v>
      </c>
      <c r="C33" s="32">
        <v>35</v>
      </c>
      <c r="D33" s="32" t="s">
        <v>69</v>
      </c>
      <c r="E33" s="32">
        <v>54</v>
      </c>
      <c r="F33" s="32" t="s">
        <v>69</v>
      </c>
      <c r="G33" s="32">
        <v>8</v>
      </c>
      <c r="H33" s="32"/>
      <c r="I33" s="32">
        <f t="shared" si="4"/>
        <v>0</v>
      </c>
      <c r="J33" s="32">
        <f t="shared" si="5"/>
        <v>0</v>
      </c>
      <c r="K33" s="33">
        <v>10</v>
      </c>
      <c r="L33" s="33">
        <v>10.050000000000001</v>
      </c>
      <c r="M33" s="47"/>
    </row>
    <row r="34" spans="1:14" ht="20.5">
      <c r="A34" s="35" t="s">
        <v>77</v>
      </c>
      <c r="B34" s="32" t="s">
        <v>68</v>
      </c>
      <c r="C34" s="32">
        <v>38</v>
      </c>
      <c r="D34" s="32" t="s">
        <v>69</v>
      </c>
      <c r="E34" s="32">
        <v>47</v>
      </c>
      <c r="F34" s="32" t="s">
        <v>69</v>
      </c>
      <c r="G34" s="32">
        <v>12</v>
      </c>
      <c r="H34" s="32">
        <v>50</v>
      </c>
      <c r="I34" s="32">
        <f t="shared" si="4"/>
        <v>1.0716000000000001</v>
      </c>
      <c r="J34" s="32">
        <f t="shared" si="5"/>
        <v>1.0125</v>
      </c>
      <c r="K34" s="33">
        <v>20</v>
      </c>
      <c r="L34" s="33">
        <v>20.25</v>
      </c>
    </row>
    <row r="35" spans="1:14" ht="20.5">
      <c r="A35" s="34" t="s">
        <v>80</v>
      </c>
      <c r="B35" s="32" t="s">
        <v>81</v>
      </c>
      <c r="C35" s="32">
        <v>38</v>
      </c>
      <c r="D35" s="32" t="s">
        <v>69</v>
      </c>
      <c r="E35" s="32">
        <v>46</v>
      </c>
      <c r="F35" s="32" t="s">
        <v>69</v>
      </c>
      <c r="G35" s="32">
        <v>18</v>
      </c>
      <c r="H35" s="32">
        <v>200</v>
      </c>
      <c r="I35" s="32">
        <f t="shared" si="4"/>
        <v>6.2927999999999997</v>
      </c>
      <c r="J35" s="32">
        <f t="shared" si="5"/>
        <v>4.0999999999999996</v>
      </c>
      <c r="K35" s="33">
        <v>20</v>
      </c>
      <c r="L35" s="33">
        <v>20.5</v>
      </c>
      <c r="M35" s="47"/>
    </row>
    <row r="36" spans="1:14" ht="19.899999999999999" customHeight="1">
      <c r="A36" s="34" t="s">
        <v>72</v>
      </c>
      <c r="B36" s="32" t="s">
        <v>70</v>
      </c>
      <c r="C36" s="32">
        <v>48</v>
      </c>
      <c r="D36" s="32" t="s">
        <v>69</v>
      </c>
      <c r="E36" s="32">
        <v>51</v>
      </c>
      <c r="F36" s="32" t="s">
        <v>69</v>
      </c>
      <c r="G36" s="32">
        <v>40</v>
      </c>
      <c r="H36" s="32">
        <v>32</v>
      </c>
      <c r="I36" s="32">
        <f t="shared" si="4"/>
        <v>3.1334399999999998</v>
      </c>
      <c r="J36" s="32">
        <f t="shared" si="5"/>
        <v>0.34048</v>
      </c>
      <c r="K36" s="33">
        <v>10</v>
      </c>
      <c r="L36" s="33">
        <v>10.64</v>
      </c>
    </row>
    <row r="37" spans="1:14" ht="19.899999999999999" customHeight="1">
      <c r="A37" s="34" t="s">
        <v>72</v>
      </c>
      <c r="B37" s="32" t="s">
        <v>87</v>
      </c>
      <c r="C37" s="32">
        <v>37.5</v>
      </c>
      <c r="D37" s="32" t="s">
        <v>69</v>
      </c>
      <c r="E37" s="32">
        <v>63.5</v>
      </c>
      <c r="F37" s="32" t="s">
        <v>69</v>
      </c>
      <c r="G37" s="32">
        <v>18.5</v>
      </c>
      <c r="H37" s="32">
        <v>32</v>
      </c>
      <c r="I37" s="32">
        <f t="shared" si="4"/>
        <v>1.4097</v>
      </c>
      <c r="J37" s="32">
        <f t="shared" si="5"/>
        <v>0.33600000000000002</v>
      </c>
      <c r="K37" s="33">
        <v>9.6</v>
      </c>
      <c r="L37" s="33">
        <v>10.5</v>
      </c>
    </row>
    <row r="38" spans="1:14" ht="20.5">
      <c r="A38" s="34" t="s">
        <v>72</v>
      </c>
      <c r="B38" s="32" t="s">
        <v>71</v>
      </c>
      <c r="C38" s="32">
        <v>48</v>
      </c>
      <c r="D38" s="32" t="s">
        <v>69</v>
      </c>
      <c r="E38" s="32">
        <v>48</v>
      </c>
      <c r="F38" s="32" t="s">
        <v>69</v>
      </c>
      <c r="G38" s="32">
        <v>48</v>
      </c>
      <c r="H38" s="56"/>
      <c r="I38" s="32">
        <f t="shared" si="4"/>
        <v>0</v>
      </c>
      <c r="J38" s="32">
        <f t="shared" si="5"/>
        <v>0</v>
      </c>
      <c r="K38" s="33">
        <v>10</v>
      </c>
      <c r="L38" s="33">
        <v>10.64</v>
      </c>
    </row>
    <row r="39" spans="1:14" ht="20.5">
      <c r="A39" s="79" t="s">
        <v>72</v>
      </c>
      <c r="B39" s="80" t="s">
        <v>73</v>
      </c>
      <c r="C39" s="80">
        <v>39.5</v>
      </c>
      <c r="D39" s="80" t="s">
        <v>69</v>
      </c>
      <c r="E39" s="80">
        <v>57</v>
      </c>
      <c r="F39" s="80" t="s">
        <v>69</v>
      </c>
      <c r="G39" s="80">
        <v>47</v>
      </c>
      <c r="H39" s="81">
        <v>48</v>
      </c>
      <c r="I39" s="80">
        <f t="shared" si="4"/>
        <v>5.0793840000000001</v>
      </c>
      <c r="J39" s="80">
        <f t="shared" si="5"/>
        <v>0.51072000000000006</v>
      </c>
      <c r="K39" s="82">
        <v>10</v>
      </c>
      <c r="L39" s="82">
        <v>10.64</v>
      </c>
    </row>
    <row r="40" spans="1:14" ht="20.5">
      <c r="A40" s="78"/>
      <c r="B40" s="80"/>
      <c r="C40" s="80"/>
      <c r="D40" s="80"/>
      <c r="E40" s="80"/>
      <c r="F40" s="80"/>
      <c r="G40" s="80"/>
      <c r="H40" s="81">
        <f>SUM(H29:H39)</f>
        <v>608</v>
      </c>
      <c r="I40" s="80">
        <f>SUM(I29:I39)</f>
        <v>24.990156000000002</v>
      </c>
      <c r="J40" s="80">
        <f>SUM(J29:J39)</f>
        <v>9.5823</v>
      </c>
      <c r="K40" s="82"/>
      <c r="L40" s="82"/>
    </row>
    <row r="41" spans="1:14" ht="21.5">
      <c r="B41" s="29" t="s">
        <v>62</v>
      </c>
      <c r="C41" s="149" t="s">
        <v>63</v>
      </c>
      <c r="D41" s="149"/>
      <c r="E41" s="149"/>
      <c r="F41" s="149"/>
      <c r="G41" s="149"/>
      <c r="H41" s="29" t="s">
        <v>64</v>
      </c>
      <c r="I41" s="29" t="s">
        <v>65</v>
      </c>
      <c r="J41" s="29" t="s">
        <v>19</v>
      </c>
      <c r="K41" s="30" t="s">
        <v>66</v>
      </c>
      <c r="L41" s="30" t="s">
        <v>67</v>
      </c>
      <c r="M41" s="74"/>
      <c r="N41" s="31"/>
    </row>
    <row r="42" spans="1:14" ht="20.5">
      <c r="A42" s="34" t="s">
        <v>74</v>
      </c>
      <c r="B42" s="32" t="s">
        <v>75</v>
      </c>
      <c r="C42" s="32">
        <v>30</v>
      </c>
      <c r="D42" s="32" t="s">
        <v>69</v>
      </c>
      <c r="E42" s="32">
        <v>39.299999999999997</v>
      </c>
      <c r="F42" s="32" t="s">
        <v>69</v>
      </c>
      <c r="G42" s="32">
        <v>23</v>
      </c>
      <c r="H42" s="32">
        <v>144</v>
      </c>
      <c r="I42" s="32">
        <f t="shared" ref="I42:I52" si="6">C42*E42*G42*H42/1000000</f>
        <v>3.9048479999999999</v>
      </c>
      <c r="J42" s="32">
        <f t="shared" ref="J42:J52" si="7">H42*L42/1000</f>
        <v>0.26640000000000003</v>
      </c>
      <c r="K42" s="33">
        <v>1.2</v>
      </c>
      <c r="L42" s="33">
        <v>1.85</v>
      </c>
    </row>
    <row r="43" spans="1:14" ht="20.5">
      <c r="A43" s="34" t="s">
        <v>85</v>
      </c>
      <c r="B43" s="32" t="s">
        <v>75</v>
      </c>
      <c r="C43" s="32">
        <v>30</v>
      </c>
      <c r="D43" s="32" t="s">
        <v>69</v>
      </c>
      <c r="E43" s="32">
        <v>39.299999999999997</v>
      </c>
      <c r="F43" s="32" t="s">
        <v>69</v>
      </c>
      <c r="G43" s="32">
        <v>23</v>
      </c>
      <c r="H43" s="32"/>
      <c r="I43" s="32">
        <f t="shared" si="6"/>
        <v>0</v>
      </c>
      <c r="J43" s="32">
        <f t="shared" si="7"/>
        <v>0</v>
      </c>
      <c r="K43" s="33">
        <v>1.2</v>
      </c>
      <c r="L43" s="33">
        <v>1.85</v>
      </c>
    </row>
    <row r="44" spans="1:14" ht="20.5">
      <c r="A44" s="34" t="s">
        <v>76</v>
      </c>
      <c r="B44" s="32" t="s">
        <v>75</v>
      </c>
      <c r="C44" s="32">
        <v>30</v>
      </c>
      <c r="D44" s="32" t="s">
        <v>69</v>
      </c>
      <c r="E44" s="32">
        <v>39.299999999999997</v>
      </c>
      <c r="F44" s="32" t="s">
        <v>69</v>
      </c>
      <c r="G44" s="32">
        <v>23</v>
      </c>
      <c r="H44" s="32">
        <v>144</v>
      </c>
      <c r="I44" s="32">
        <f t="shared" si="6"/>
        <v>3.9048479999999999</v>
      </c>
      <c r="J44" s="32">
        <f t="shared" si="7"/>
        <v>0.26640000000000003</v>
      </c>
      <c r="K44" s="33">
        <v>1.2</v>
      </c>
      <c r="L44" s="33">
        <v>1.85</v>
      </c>
    </row>
    <row r="45" spans="1:14" ht="20.5">
      <c r="A45" s="34" t="s">
        <v>80</v>
      </c>
      <c r="B45" s="32" t="s">
        <v>83</v>
      </c>
      <c r="C45" s="32">
        <v>40</v>
      </c>
      <c r="D45" s="32" t="s">
        <v>69</v>
      </c>
      <c r="E45" s="32">
        <v>60</v>
      </c>
      <c r="F45" s="32" t="s">
        <v>69</v>
      </c>
      <c r="G45" s="32">
        <v>15</v>
      </c>
      <c r="H45" s="32">
        <v>100</v>
      </c>
      <c r="I45" s="32">
        <f t="shared" si="6"/>
        <v>3.6</v>
      </c>
      <c r="J45" s="32">
        <f t="shared" si="7"/>
        <v>2.0699999999999998</v>
      </c>
      <c r="K45" s="33">
        <v>20</v>
      </c>
      <c r="L45" s="33">
        <v>20.7</v>
      </c>
    </row>
    <row r="46" spans="1:14" ht="20.5">
      <c r="A46" s="34" t="s">
        <v>80</v>
      </c>
      <c r="B46" s="32" t="s">
        <v>82</v>
      </c>
      <c r="C46" s="32">
        <v>35</v>
      </c>
      <c r="D46" s="32" t="s">
        <v>69</v>
      </c>
      <c r="E46" s="32">
        <v>54</v>
      </c>
      <c r="F46" s="32" t="s">
        <v>69</v>
      </c>
      <c r="G46" s="32">
        <v>8</v>
      </c>
      <c r="H46" s="32"/>
      <c r="I46" s="32">
        <f t="shared" si="6"/>
        <v>0</v>
      </c>
      <c r="J46" s="32">
        <f t="shared" si="7"/>
        <v>0</v>
      </c>
      <c r="K46" s="33">
        <v>10</v>
      </c>
      <c r="L46" s="33">
        <v>10.050000000000001</v>
      </c>
      <c r="M46" s="47"/>
    </row>
    <row r="47" spans="1:14" ht="20.5">
      <c r="A47" s="35" t="s">
        <v>77</v>
      </c>
      <c r="B47" s="32" t="s">
        <v>68</v>
      </c>
      <c r="C47" s="32">
        <v>38</v>
      </c>
      <c r="D47" s="32" t="s">
        <v>69</v>
      </c>
      <c r="E47" s="32">
        <v>47</v>
      </c>
      <c r="F47" s="32" t="s">
        <v>69</v>
      </c>
      <c r="G47" s="32">
        <v>12</v>
      </c>
      <c r="H47" s="32">
        <v>100</v>
      </c>
      <c r="I47" s="32">
        <f t="shared" si="6"/>
        <v>2.1432000000000002</v>
      </c>
      <c r="J47" s="32">
        <f t="shared" si="7"/>
        <v>2.0249999999999999</v>
      </c>
      <c r="K47" s="33">
        <v>20</v>
      </c>
      <c r="L47" s="33">
        <v>20.25</v>
      </c>
    </row>
    <row r="48" spans="1:14" ht="20.5">
      <c r="A48" s="34" t="s">
        <v>80</v>
      </c>
      <c r="B48" s="32" t="s">
        <v>81</v>
      </c>
      <c r="C48" s="32">
        <v>38</v>
      </c>
      <c r="D48" s="32" t="s">
        <v>69</v>
      </c>
      <c r="E48" s="32">
        <v>46</v>
      </c>
      <c r="F48" s="32" t="s">
        <v>69</v>
      </c>
      <c r="G48" s="32">
        <v>18</v>
      </c>
      <c r="H48" s="32">
        <v>200</v>
      </c>
      <c r="I48" s="32">
        <f t="shared" si="6"/>
        <v>6.2927999999999997</v>
      </c>
      <c r="J48" s="32">
        <f t="shared" si="7"/>
        <v>4.0999999999999996</v>
      </c>
      <c r="K48" s="33">
        <v>20</v>
      </c>
      <c r="L48" s="33">
        <v>20.5</v>
      </c>
      <c r="M48" s="47"/>
    </row>
    <row r="49" spans="1:14" ht="19.899999999999999" customHeight="1">
      <c r="A49" s="34" t="s">
        <v>72</v>
      </c>
      <c r="B49" s="32" t="s">
        <v>70</v>
      </c>
      <c r="C49" s="32">
        <v>48</v>
      </c>
      <c r="D49" s="32" t="s">
        <v>69</v>
      </c>
      <c r="E49" s="32">
        <v>51</v>
      </c>
      <c r="F49" s="32" t="s">
        <v>69</v>
      </c>
      <c r="G49" s="32">
        <v>40</v>
      </c>
      <c r="H49" s="32">
        <v>48</v>
      </c>
      <c r="I49" s="32">
        <f t="shared" si="6"/>
        <v>4.7001600000000003</v>
      </c>
      <c r="J49" s="32">
        <f t="shared" si="7"/>
        <v>0.51072000000000006</v>
      </c>
      <c r="K49" s="33">
        <v>10</v>
      </c>
      <c r="L49" s="33">
        <v>10.64</v>
      </c>
    </row>
    <row r="50" spans="1:14" ht="19.899999999999999" customHeight="1">
      <c r="A50" s="34" t="s">
        <v>72</v>
      </c>
      <c r="B50" s="32" t="s">
        <v>87</v>
      </c>
      <c r="C50" s="32">
        <v>37.5</v>
      </c>
      <c r="D50" s="32" t="s">
        <v>69</v>
      </c>
      <c r="E50" s="32">
        <v>63.5</v>
      </c>
      <c r="F50" s="32" t="s">
        <v>69</v>
      </c>
      <c r="G50" s="32">
        <v>18.5</v>
      </c>
      <c r="H50" s="32"/>
      <c r="I50" s="32">
        <f t="shared" si="6"/>
        <v>0</v>
      </c>
      <c r="J50" s="32">
        <f t="shared" si="7"/>
        <v>0</v>
      </c>
      <c r="K50" s="33">
        <v>9.6</v>
      </c>
      <c r="L50" s="33">
        <v>10.5</v>
      </c>
    </row>
    <row r="51" spans="1:14" ht="20.5">
      <c r="A51" s="34" t="s">
        <v>72</v>
      </c>
      <c r="B51" s="32" t="s">
        <v>71</v>
      </c>
      <c r="C51" s="32">
        <v>48</v>
      </c>
      <c r="D51" s="32" t="s">
        <v>69</v>
      </c>
      <c r="E51" s="32">
        <v>48</v>
      </c>
      <c r="F51" s="32" t="s">
        <v>69</v>
      </c>
      <c r="G51" s="32">
        <v>48</v>
      </c>
      <c r="H51" s="56">
        <v>16</v>
      </c>
      <c r="I51" s="32">
        <f t="shared" si="6"/>
        <v>1.7694719999999999</v>
      </c>
      <c r="J51" s="32">
        <f t="shared" si="7"/>
        <v>0.17024</v>
      </c>
      <c r="K51" s="33">
        <v>10</v>
      </c>
      <c r="L51" s="33">
        <v>10.64</v>
      </c>
    </row>
    <row r="52" spans="1:14" ht="20.5">
      <c r="A52" s="79" t="s">
        <v>72</v>
      </c>
      <c r="B52" s="80" t="s">
        <v>73</v>
      </c>
      <c r="C52" s="80">
        <v>39.5</v>
      </c>
      <c r="D52" s="80" t="s">
        <v>69</v>
      </c>
      <c r="E52" s="80">
        <v>57</v>
      </c>
      <c r="F52" s="80" t="s">
        <v>69</v>
      </c>
      <c r="G52" s="80">
        <v>47</v>
      </c>
      <c r="H52" s="81"/>
      <c r="I52" s="80">
        <f t="shared" si="6"/>
        <v>0</v>
      </c>
      <c r="J52" s="80">
        <f t="shared" si="7"/>
        <v>0</v>
      </c>
      <c r="K52" s="82">
        <v>10</v>
      </c>
      <c r="L52" s="82">
        <v>10.64</v>
      </c>
    </row>
    <row r="53" spans="1:14" ht="20.5">
      <c r="A53" s="78"/>
      <c r="B53" s="80"/>
      <c r="C53" s="80"/>
      <c r="D53" s="80"/>
      <c r="E53" s="80"/>
      <c r="F53" s="80"/>
      <c r="G53" s="80"/>
      <c r="H53" s="81">
        <f>SUM(H42:H52)</f>
        <v>752</v>
      </c>
      <c r="I53" s="80">
        <f>SUM(I42:I52)</f>
        <v>26.315328000000001</v>
      </c>
      <c r="J53" s="80">
        <f>SUM(J42:J52)</f>
        <v>9.4087599999999973</v>
      </c>
      <c r="K53" s="82"/>
      <c r="L53" s="82"/>
    </row>
    <row r="54" spans="1:14" ht="20.5">
      <c r="A54" s="78"/>
      <c r="B54" s="80"/>
      <c r="C54" s="80"/>
      <c r="D54" s="80"/>
      <c r="E54" s="80"/>
      <c r="F54" s="80"/>
      <c r="G54" s="80"/>
      <c r="H54" s="81"/>
      <c r="I54" s="80"/>
      <c r="J54" s="80"/>
      <c r="K54" s="82"/>
      <c r="L54" s="82"/>
    </row>
    <row r="55" spans="1:14" ht="21.5">
      <c r="B55" s="29" t="s">
        <v>62</v>
      </c>
      <c r="C55" s="149" t="s">
        <v>63</v>
      </c>
      <c r="D55" s="149"/>
      <c r="E55" s="149"/>
      <c r="F55" s="149"/>
      <c r="G55" s="149"/>
      <c r="H55" s="29" t="s">
        <v>64</v>
      </c>
      <c r="I55" s="29" t="s">
        <v>65</v>
      </c>
      <c r="J55" s="29" t="s">
        <v>19</v>
      </c>
      <c r="K55" s="30" t="s">
        <v>66</v>
      </c>
      <c r="L55" s="30" t="s">
        <v>67</v>
      </c>
      <c r="M55" s="74" t="s">
        <v>100</v>
      </c>
      <c r="N55" s="31"/>
    </row>
    <row r="56" spans="1:14" ht="20.5">
      <c r="A56" s="34" t="s">
        <v>74</v>
      </c>
      <c r="B56" s="32" t="s">
        <v>75</v>
      </c>
      <c r="C56" s="32">
        <v>30</v>
      </c>
      <c r="D56" s="32" t="s">
        <v>69</v>
      </c>
      <c r="E56" s="32">
        <v>39.299999999999997</v>
      </c>
      <c r="F56" s="32" t="s">
        <v>69</v>
      </c>
      <c r="G56" s="32">
        <v>23</v>
      </c>
      <c r="H56" s="32">
        <v>384</v>
      </c>
      <c r="I56" s="32">
        <f t="shared" ref="I56:I66" si="8">C56*E56*G56*H56/1000000</f>
        <v>10.412928000000001</v>
      </c>
      <c r="J56" s="32">
        <f t="shared" ref="J56:J66" si="9">H56*L56/1000</f>
        <v>0.71040000000000014</v>
      </c>
      <c r="K56" s="33">
        <v>1.2</v>
      </c>
      <c r="L56" s="33">
        <v>1.85</v>
      </c>
    </row>
    <row r="57" spans="1:14" ht="20.5">
      <c r="A57" s="34" t="s">
        <v>85</v>
      </c>
      <c r="B57" s="32" t="s">
        <v>75</v>
      </c>
      <c r="C57" s="32">
        <v>30</v>
      </c>
      <c r="D57" s="32" t="s">
        <v>69</v>
      </c>
      <c r="E57" s="32">
        <v>39.299999999999997</v>
      </c>
      <c r="F57" s="32" t="s">
        <v>69</v>
      </c>
      <c r="G57" s="32">
        <v>23</v>
      </c>
      <c r="H57" s="32">
        <v>48</v>
      </c>
      <c r="I57" s="32">
        <f t="shared" si="8"/>
        <v>1.3016160000000001</v>
      </c>
      <c r="J57" s="32">
        <f t="shared" si="9"/>
        <v>8.8800000000000018E-2</v>
      </c>
      <c r="K57" s="33">
        <v>1.2</v>
      </c>
      <c r="L57" s="33">
        <v>1.85</v>
      </c>
    </row>
    <row r="58" spans="1:14" ht="20.5">
      <c r="A58" s="34" t="s">
        <v>76</v>
      </c>
      <c r="B58" s="32" t="s">
        <v>75</v>
      </c>
      <c r="C58" s="32">
        <v>30</v>
      </c>
      <c r="D58" s="32" t="s">
        <v>69</v>
      </c>
      <c r="E58" s="32">
        <v>39.299999999999997</v>
      </c>
      <c r="F58" s="32" t="s">
        <v>69</v>
      </c>
      <c r="G58" s="32">
        <v>23</v>
      </c>
      <c r="H58" s="32">
        <v>144</v>
      </c>
      <c r="I58" s="32">
        <f t="shared" si="8"/>
        <v>3.9048479999999999</v>
      </c>
      <c r="J58" s="32">
        <f t="shared" si="9"/>
        <v>0.26640000000000003</v>
      </c>
      <c r="K58" s="33">
        <v>1.2</v>
      </c>
      <c r="L58" s="33">
        <v>1.85</v>
      </c>
    </row>
    <row r="59" spans="1:14" ht="20.5">
      <c r="A59" s="34" t="s">
        <v>80</v>
      </c>
      <c r="B59" s="32" t="s">
        <v>83</v>
      </c>
      <c r="C59" s="32">
        <v>40</v>
      </c>
      <c r="D59" s="32" t="s">
        <v>69</v>
      </c>
      <c r="E59" s="32">
        <v>60</v>
      </c>
      <c r="F59" s="32" t="s">
        <v>69</v>
      </c>
      <c r="G59" s="32">
        <v>15</v>
      </c>
      <c r="H59" s="32"/>
      <c r="I59" s="32">
        <f t="shared" si="8"/>
        <v>0</v>
      </c>
      <c r="J59" s="32">
        <f t="shared" si="9"/>
        <v>0</v>
      </c>
      <c r="K59" s="33">
        <v>20</v>
      </c>
      <c r="L59" s="33">
        <v>20.7</v>
      </c>
    </row>
    <row r="60" spans="1:14" ht="20.5">
      <c r="A60" s="34" t="s">
        <v>80</v>
      </c>
      <c r="B60" s="32" t="s">
        <v>82</v>
      </c>
      <c r="C60" s="32">
        <v>35</v>
      </c>
      <c r="D60" s="32" t="s">
        <v>69</v>
      </c>
      <c r="E60" s="32">
        <v>54</v>
      </c>
      <c r="F60" s="32" t="s">
        <v>69</v>
      </c>
      <c r="G60" s="32">
        <v>8</v>
      </c>
      <c r="H60" s="32"/>
      <c r="I60" s="32">
        <f t="shared" si="8"/>
        <v>0</v>
      </c>
      <c r="J60" s="32">
        <f t="shared" si="9"/>
        <v>0</v>
      </c>
      <c r="K60" s="33">
        <v>10</v>
      </c>
      <c r="L60" s="33">
        <v>10.050000000000001</v>
      </c>
      <c r="M60" s="47"/>
    </row>
    <row r="61" spans="1:14" ht="20.5">
      <c r="A61" s="35" t="s">
        <v>77</v>
      </c>
      <c r="B61" s="32" t="s">
        <v>68</v>
      </c>
      <c r="C61" s="32">
        <v>38</v>
      </c>
      <c r="D61" s="32" t="s">
        <v>69</v>
      </c>
      <c r="E61" s="32">
        <v>47</v>
      </c>
      <c r="F61" s="32" t="s">
        <v>69</v>
      </c>
      <c r="G61" s="32">
        <v>12</v>
      </c>
      <c r="H61" s="32">
        <v>100</v>
      </c>
      <c r="I61" s="32">
        <f t="shared" si="8"/>
        <v>2.1432000000000002</v>
      </c>
      <c r="J61" s="32">
        <f t="shared" si="9"/>
        <v>2.0249999999999999</v>
      </c>
      <c r="K61" s="33">
        <v>20</v>
      </c>
      <c r="L61" s="33">
        <v>20.25</v>
      </c>
    </row>
    <row r="62" spans="1:14" ht="20.5">
      <c r="A62" s="34" t="s">
        <v>80</v>
      </c>
      <c r="B62" s="32" t="s">
        <v>81</v>
      </c>
      <c r="C62" s="32">
        <v>38</v>
      </c>
      <c r="D62" s="32" t="s">
        <v>69</v>
      </c>
      <c r="E62" s="32">
        <v>46</v>
      </c>
      <c r="F62" s="32" t="s">
        <v>69</v>
      </c>
      <c r="G62" s="32">
        <v>18</v>
      </c>
      <c r="H62" s="32">
        <v>150</v>
      </c>
      <c r="I62" s="32">
        <f t="shared" si="8"/>
        <v>4.7195999999999998</v>
      </c>
      <c r="J62" s="32">
        <f t="shared" si="9"/>
        <v>3.0750000000000002</v>
      </c>
      <c r="K62" s="33">
        <v>20</v>
      </c>
      <c r="L62" s="33">
        <v>20.5</v>
      </c>
      <c r="M62" s="47"/>
    </row>
    <row r="63" spans="1:14" ht="19.899999999999999" customHeight="1">
      <c r="A63" s="34" t="s">
        <v>72</v>
      </c>
      <c r="B63" s="32" t="s">
        <v>70</v>
      </c>
      <c r="C63" s="32">
        <v>48</v>
      </c>
      <c r="D63" s="32" t="s">
        <v>69</v>
      </c>
      <c r="E63" s="32">
        <v>51</v>
      </c>
      <c r="F63" s="32" t="s">
        <v>69</v>
      </c>
      <c r="G63" s="32">
        <v>40</v>
      </c>
      <c r="H63" s="32">
        <v>16</v>
      </c>
      <c r="I63" s="32">
        <f t="shared" si="8"/>
        <v>1.5667199999999999</v>
      </c>
      <c r="J63" s="32">
        <f t="shared" si="9"/>
        <v>0.17024</v>
      </c>
      <c r="K63" s="33">
        <v>10</v>
      </c>
      <c r="L63" s="33">
        <v>10.64</v>
      </c>
    </row>
    <row r="64" spans="1:14" ht="19.899999999999999" customHeight="1">
      <c r="A64" s="34" t="s">
        <v>72</v>
      </c>
      <c r="B64" s="32" t="s">
        <v>87</v>
      </c>
      <c r="C64" s="32">
        <v>37.5</v>
      </c>
      <c r="D64" s="32" t="s">
        <v>69</v>
      </c>
      <c r="E64" s="32">
        <v>63.5</v>
      </c>
      <c r="F64" s="32" t="s">
        <v>69</v>
      </c>
      <c r="G64" s="32">
        <v>18.5</v>
      </c>
      <c r="H64" s="32"/>
      <c r="I64" s="32">
        <f t="shared" si="8"/>
        <v>0</v>
      </c>
      <c r="J64" s="32">
        <f t="shared" si="9"/>
        <v>0</v>
      </c>
      <c r="K64" s="33">
        <v>9.6</v>
      </c>
      <c r="L64" s="33">
        <v>10.5</v>
      </c>
    </row>
    <row r="65" spans="1:14" ht="20.5">
      <c r="A65" s="34" t="s">
        <v>72</v>
      </c>
      <c r="B65" s="32" t="s">
        <v>71</v>
      </c>
      <c r="C65" s="32">
        <v>48</v>
      </c>
      <c r="D65" s="32" t="s">
        <v>69</v>
      </c>
      <c r="E65" s="32">
        <v>48</v>
      </c>
      <c r="F65" s="32" t="s">
        <v>69</v>
      </c>
      <c r="G65" s="32">
        <v>48</v>
      </c>
      <c r="H65" s="56">
        <v>16</v>
      </c>
      <c r="I65" s="32">
        <f t="shared" si="8"/>
        <v>1.7694719999999999</v>
      </c>
      <c r="J65" s="32">
        <f t="shared" si="9"/>
        <v>0.17024</v>
      </c>
      <c r="K65" s="33">
        <v>10</v>
      </c>
      <c r="L65" s="33">
        <v>10.64</v>
      </c>
    </row>
    <row r="66" spans="1:14" ht="20.5">
      <c r="A66" s="79" t="s">
        <v>72</v>
      </c>
      <c r="B66" s="80" t="s">
        <v>73</v>
      </c>
      <c r="C66" s="80">
        <v>39.5</v>
      </c>
      <c r="D66" s="80" t="s">
        <v>69</v>
      </c>
      <c r="E66" s="80">
        <v>57</v>
      </c>
      <c r="F66" s="80" t="s">
        <v>69</v>
      </c>
      <c r="G66" s="80">
        <v>47</v>
      </c>
      <c r="H66" s="81"/>
      <c r="I66" s="80">
        <f t="shared" si="8"/>
        <v>0</v>
      </c>
      <c r="J66" s="80">
        <f t="shared" si="9"/>
        <v>0</v>
      </c>
      <c r="K66" s="82">
        <v>10</v>
      </c>
      <c r="L66" s="82">
        <v>10.64</v>
      </c>
    </row>
    <row r="67" spans="1:14" ht="20.5">
      <c r="A67" s="78"/>
      <c r="B67" s="80"/>
      <c r="C67" s="80"/>
      <c r="D67" s="80"/>
      <c r="E67" s="80"/>
      <c r="F67" s="80"/>
      <c r="G67" s="80"/>
      <c r="H67" s="81">
        <f>SUM(H56:H66)</f>
        <v>858</v>
      </c>
      <c r="I67" s="80">
        <f>SUM(I56:I66)</f>
        <v>25.818383999999998</v>
      </c>
      <c r="J67" s="80">
        <f>SUM(J56:J66)</f>
        <v>6.5060799999999999</v>
      </c>
      <c r="K67" s="82"/>
      <c r="L67" s="82"/>
    </row>
    <row r="68" spans="1:14" ht="21.5">
      <c r="B68" s="29" t="s">
        <v>62</v>
      </c>
      <c r="C68" s="149" t="s">
        <v>63</v>
      </c>
      <c r="D68" s="149"/>
      <c r="E68" s="149"/>
      <c r="F68" s="149"/>
      <c r="G68" s="149"/>
      <c r="H68" s="29" t="s">
        <v>64</v>
      </c>
      <c r="I68" s="29" t="s">
        <v>65</v>
      </c>
      <c r="J68" s="29" t="s">
        <v>19</v>
      </c>
      <c r="K68" s="30" t="s">
        <v>66</v>
      </c>
      <c r="L68" s="30" t="s">
        <v>67</v>
      </c>
      <c r="M68" s="74" t="s">
        <v>99</v>
      </c>
      <c r="N68" s="31"/>
    </row>
    <row r="69" spans="1:14" ht="20.5">
      <c r="A69" s="34" t="s">
        <v>74</v>
      </c>
      <c r="B69" s="32" t="s">
        <v>75</v>
      </c>
      <c r="C69" s="32">
        <v>30</v>
      </c>
      <c r="D69" s="32" t="s">
        <v>69</v>
      </c>
      <c r="E69" s="32">
        <v>39.299999999999997</v>
      </c>
      <c r="F69" s="32" t="s">
        <v>69</v>
      </c>
      <c r="G69" s="32">
        <v>23</v>
      </c>
      <c r="H69" s="32">
        <v>96</v>
      </c>
      <c r="I69" s="32">
        <f t="shared" ref="I69:I79" si="10">C69*E69*G69*H69/1000000</f>
        <v>2.6032320000000002</v>
      </c>
      <c r="J69" s="32">
        <f t="shared" ref="J69:J79" si="11">H69*L69/1000</f>
        <v>0.17760000000000004</v>
      </c>
      <c r="K69" s="33">
        <v>1.2</v>
      </c>
      <c r="L69" s="33">
        <v>1.85</v>
      </c>
    </row>
    <row r="70" spans="1:14" ht="20.5">
      <c r="A70" s="34" t="s">
        <v>85</v>
      </c>
      <c r="B70" s="32" t="s">
        <v>75</v>
      </c>
      <c r="C70" s="32">
        <v>30</v>
      </c>
      <c r="D70" s="32" t="s">
        <v>69</v>
      </c>
      <c r="E70" s="32">
        <v>39.299999999999997</v>
      </c>
      <c r="F70" s="32" t="s">
        <v>69</v>
      </c>
      <c r="G70" s="32">
        <v>23</v>
      </c>
      <c r="H70" s="32">
        <v>48</v>
      </c>
      <c r="I70" s="32">
        <f t="shared" si="10"/>
        <v>1.3016160000000001</v>
      </c>
      <c r="J70" s="32">
        <f t="shared" si="11"/>
        <v>8.8800000000000018E-2</v>
      </c>
      <c r="K70" s="33">
        <v>1.2</v>
      </c>
      <c r="L70" s="33">
        <v>1.85</v>
      </c>
    </row>
    <row r="71" spans="1:14" ht="20.5">
      <c r="A71" s="34" t="s">
        <v>76</v>
      </c>
      <c r="B71" s="32" t="s">
        <v>75</v>
      </c>
      <c r="C71" s="32">
        <v>30</v>
      </c>
      <c r="D71" s="32" t="s">
        <v>69</v>
      </c>
      <c r="E71" s="32">
        <v>39.299999999999997</v>
      </c>
      <c r="F71" s="32" t="s">
        <v>69</v>
      </c>
      <c r="G71" s="32">
        <v>23</v>
      </c>
      <c r="H71" s="32">
        <v>96</v>
      </c>
      <c r="I71" s="32">
        <f t="shared" si="10"/>
        <v>2.6032320000000002</v>
      </c>
      <c r="J71" s="32">
        <f t="shared" si="11"/>
        <v>0.17760000000000004</v>
      </c>
      <c r="K71" s="33">
        <v>1.2</v>
      </c>
      <c r="L71" s="33">
        <v>1.85</v>
      </c>
    </row>
    <row r="72" spans="1:14" ht="20.5">
      <c r="A72" s="34" t="s">
        <v>80</v>
      </c>
      <c r="B72" s="32" t="s">
        <v>83</v>
      </c>
      <c r="C72" s="32">
        <v>40</v>
      </c>
      <c r="D72" s="32" t="s">
        <v>69</v>
      </c>
      <c r="E72" s="32">
        <v>60</v>
      </c>
      <c r="F72" s="32" t="s">
        <v>69</v>
      </c>
      <c r="G72" s="32">
        <v>15</v>
      </c>
      <c r="H72" s="32">
        <v>50</v>
      </c>
      <c r="I72" s="32">
        <f t="shared" si="10"/>
        <v>1.8</v>
      </c>
      <c r="J72" s="32">
        <f t="shared" si="11"/>
        <v>1.0349999999999999</v>
      </c>
      <c r="K72" s="33">
        <v>20</v>
      </c>
      <c r="L72" s="33">
        <v>20.7</v>
      </c>
    </row>
    <row r="73" spans="1:14" ht="20.5">
      <c r="A73" s="34" t="s">
        <v>80</v>
      </c>
      <c r="B73" s="32" t="s">
        <v>82</v>
      </c>
      <c r="C73" s="32">
        <v>35</v>
      </c>
      <c r="D73" s="32" t="s">
        <v>69</v>
      </c>
      <c r="E73" s="32">
        <v>54</v>
      </c>
      <c r="F73" s="32" t="s">
        <v>69</v>
      </c>
      <c r="G73" s="32">
        <v>8</v>
      </c>
      <c r="H73" s="32">
        <v>98</v>
      </c>
      <c r="I73" s="32">
        <f t="shared" si="10"/>
        <v>1.48176</v>
      </c>
      <c r="J73" s="32">
        <f t="shared" si="11"/>
        <v>0.98490000000000011</v>
      </c>
      <c r="K73" s="33">
        <v>10</v>
      </c>
      <c r="L73" s="33">
        <v>10.050000000000001</v>
      </c>
      <c r="M73" s="47"/>
    </row>
    <row r="74" spans="1:14" ht="20.5">
      <c r="A74" s="35" t="s">
        <v>77</v>
      </c>
      <c r="B74" s="32" t="s">
        <v>68</v>
      </c>
      <c r="C74" s="32">
        <v>38</v>
      </c>
      <c r="D74" s="32" t="s">
        <v>69</v>
      </c>
      <c r="E74" s="32">
        <v>47</v>
      </c>
      <c r="F74" s="32" t="s">
        <v>69</v>
      </c>
      <c r="G74" s="32">
        <v>12</v>
      </c>
      <c r="H74" s="32">
        <v>100</v>
      </c>
      <c r="I74" s="32">
        <f t="shared" si="10"/>
        <v>2.1432000000000002</v>
      </c>
      <c r="J74" s="32">
        <f t="shared" si="11"/>
        <v>2.0249999999999999</v>
      </c>
      <c r="K74" s="33">
        <v>20</v>
      </c>
      <c r="L74" s="33">
        <v>20.25</v>
      </c>
    </row>
    <row r="75" spans="1:14" ht="20.5">
      <c r="A75" s="34" t="s">
        <v>80</v>
      </c>
      <c r="B75" s="32" t="s">
        <v>81</v>
      </c>
      <c r="C75" s="32">
        <v>38</v>
      </c>
      <c r="D75" s="32" t="s">
        <v>69</v>
      </c>
      <c r="E75" s="32">
        <v>46</v>
      </c>
      <c r="F75" s="32" t="s">
        <v>69</v>
      </c>
      <c r="G75" s="32">
        <v>18</v>
      </c>
      <c r="H75" s="32">
        <v>200</v>
      </c>
      <c r="I75" s="32">
        <f t="shared" si="10"/>
        <v>6.2927999999999997</v>
      </c>
      <c r="J75" s="32">
        <f t="shared" si="11"/>
        <v>4.0999999999999996</v>
      </c>
      <c r="K75" s="33">
        <v>20</v>
      </c>
      <c r="L75" s="33">
        <v>20.5</v>
      </c>
      <c r="M75" s="47"/>
    </row>
    <row r="76" spans="1:14" ht="19.899999999999999" customHeight="1">
      <c r="A76" s="34" t="s">
        <v>72</v>
      </c>
      <c r="B76" s="32" t="s">
        <v>70</v>
      </c>
      <c r="C76" s="32">
        <v>48</v>
      </c>
      <c r="D76" s="32" t="s">
        <v>69</v>
      </c>
      <c r="E76" s="32">
        <v>51</v>
      </c>
      <c r="F76" s="32" t="s">
        <v>69</v>
      </c>
      <c r="G76" s="32">
        <v>40</v>
      </c>
      <c r="H76" s="32">
        <v>32</v>
      </c>
      <c r="I76" s="32">
        <f t="shared" si="10"/>
        <v>3.1334399999999998</v>
      </c>
      <c r="J76" s="32">
        <f t="shared" si="11"/>
        <v>0.34048</v>
      </c>
      <c r="K76" s="33">
        <v>10</v>
      </c>
      <c r="L76" s="33">
        <v>10.64</v>
      </c>
    </row>
    <row r="77" spans="1:14" ht="19.899999999999999" customHeight="1">
      <c r="A77" s="34" t="s">
        <v>72</v>
      </c>
      <c r="B77" s="32" t="s">
        <v>87</v>
      </c>
      <c r="C77" s="32">
        <v>37.5</v>
      </c>
      <c r="D77" s="32" t="s">
        <v>69</v>
      </c>
      <c r="E77" s="32">
        <v>63.5</v>
      </c>
      <c r="F77" s="32" t="s">
        <v>69</v>
      </c>
      <c r="G77" s="32">
        <v>18.5</v>
      </c>
      <c r="H77" s="32"/>
      <c r="I77" s="32">
        <f t="shared" si="10"/>
        <v>0</v>
      </c>
      <c r="J77" s="32">
        <f t="shared" si="11"/>
        <v>0</v>
      </c>
      <c r="K77" s="33">
        <v>9.6</v>
      </c>
      <c r="L77" s="33">
        <v>10.5</v>
      </c>
    </row>
    <row r="78" spans="1:14" ht="20.5">
      <c r="A78" s="34" t="s">
        <v>72</v>
      </c>
      <c r="B78" s="32" t="s">
        <v>71</v>
      </c>
      <c r="C78" s="32">
        <v>48</v>
      </c>
      <c r="D78" s="32" t="s">
        <v>69</v>
      </c>
      <c r="E78" s="32">
        <v>48</v>
      </c>
      <c r="F78" s="32" t="s">
        <v>69</v>
      </c>
      <c r="G78" s="32">
        <v>48</v>
      </c>
      <c r="H78" s="56">
        <v>32</v>
      </c>
      <c r="I78" s="32">
        <f t="shared" si="10"/>
        <v>3.5389439999999999</v>
      </c>
      <c r="J78" s="32">
        <f t="shared" si="11"/>
        <v>0.34048</v>
      </c>
      <c r="K78" s="33">
        <v>10</v>
      </c>
      <c r="L78" s="33">
        <v>10.64</v>
      </c>
    </row>
    <row r="79" spans="1:14" ht="20.5">
      <c r="A79" s="79" t="s">
        <v>72</v>
      </c>
      <c r="B79" s="80" t="s">
        <v>73</v>
      </c>
      <c r="C79" s="80">
        <v>39.5</v>
      </c>
      <c r="D79" s="80" t="s">
        <v>69</v>
      </c>
      <c r="E79" s="80">
        <v>57</v>
      </c>
      <c r="F79" s="80" t="s">
        <v>69</v>
      </c>
      <c r="G79" s="80">
        <v>47</v>
      </c>
      <c r="H79" s="81"/>
      <c r="I79" s="80">
        <f t="shared" si="10"/>
        <v>0</v>
      </c>
      <c r="J79" s="80">
        <f t="shared" si="11"/>
        <v>0</v>
      </c>
      <c r="K79" s="82">
        <v>10</v>
      </c>
      <c r="L79" s="82">
        <v>10.64</v>
      </c>
    </row>
    <row r="80" spans="1:14" ht="20.5">
      <c r="A80" s="78"/>
      <c r="B80" s="80"/>
      <c r="C80" s="80"/>
      <c r="D80" s="80"/>
      <c r="E80" s="80"/>
      <c r="F80" s="80"/>
      <c r="G80" s="80"/>
      <c r="H80" s="81">
        <f>SUM(H69:H79)</f>
        <v>752</v>
      </c>
      <c r="I80" s="80">
        <f>SUM(I69:I79)</f>
        <v>24.898223999999999</v>
      </c>
      <c r="J80" s="80">
        <f>SUM(J69:J79)</f>
        <v>9.2698599999999978</v>
      </c>
      <c r="K80" s="82"/>
      <c r="L80" s="82"/>
    </row>
    <row r="81" spans="1:14" ht="21.5">
      <c r="B81" s="29" t="s">
        <v>62</v>
      </c>
      <c r="C81" s="149" t="s">
        <v>63</v>
      </c>
      <c r="D81" s="149"/>
      <c r="E81" s="149"/>
      <c r="F81" s="149"/>
      <c r="G81" s="149"/>
      <c r="H81" s="29" t="s">
        <v>64</v>
      </c>
      <c r="I81" s="29" t="s">
        <v>65</v>
      </c>
      <c r="J81" s="29" t="s">
        <v>19</v>
      </c>
      <c r="K81" s="30" t="s">
        <v>66</v>
      </c>
      <c r="L81" s="30" t="s">
        <v>67</v>
      </c>
      <c r="M81" s="74" t="s">
        <v>97</v>
      </c>
      <c r="N81" s="31"/>
    </row>
    <row r="82" spans="1:14" ht="20.5">
      <c r="A82" s="34" t="s">
        <v>74</v>
      </c>
      <c r="B82" s="32" t="s">
        <v>75</v>
      </c>
      <c r="C82" s="32">
        <v>30</v>
      </c>
      <c r="D82" s="32" t="s">
        <v>69</v>
      </c>
      <c r="E82" s="32">
        <v>39.299999999999997</v>
      </c>
      <c r="F82" s="32" t="s">
        <v>69</v>
      </c>
      <c r="G82" s="32">
        <v>23</v>
      </c>
      <c r="H82" s="32">
        <v>192</v>
      </c>
      <c r="I82" s="32">
        <f t="shared" ref="I82:I92" si="12">C82*E82*G82*H82/1000000</f>
        <v>5.2064640000000004</v>
      </c>
      <c r="J82" s="32">
        <f t="shared" ref="J82:J92" si="13">H82*L82/1000</f>
        <v>0.35520000000000007</v>
      </c>
      <c r="K82" s="33">
        <v>1.2</v>
      </c>
      <c r="L82" s="33">
        <v>1.85</v>
      </c>
    </row>
    <row r="83" spans="1:14" ht="20.5">
      <c r="A83" s="34" t="s">
        <v>85</v>
      </c>
      <c r="B83" s="32" t="s">
        <v>75</v>
      </c>
      <c r="C83" s="32">
        <v>30</v>
      </c>
      <c r="D83" s="32" t="s">
        <v>69</v>
      </c>
      <c r="E83" s="32">
        <v>39.299999999999997</v>
      </c>
      <c r="F83" s="32" t="s">
        <v>69</v>
      </c>
      <c r="G83" s="32">
        <v>23</v>
      </c>
      <c r="H83" s="32">
        <v>48</v>
      </c>
      <c r="I83" s="32">
        <f t="shared" si="12"/>
        <v>1.3016160000000001</v>
      </c>
      <c r="J83" s="32">
        <f t="shared" si="13"/>
        <v>8.8800000000000018E-2</v>
      </c>
      <c r="K83" s="33">
        <v>1.2</v>
      </c>
      <c r="L83" s="33">
        <v>1.85</v>
      </c>
    </row>
    <row r="84" spans="1:14" ht="20.5">
      <c r="A84" s="34" t="s">
        <v>76</v>
      </c>
      <c r="B84" s="32" t="s">
        <v>75</v>
      </c>
      <c r="C84" s="32">
        <v>30</v>
      </c>
      <c r="D84" s="32" t="s">
        <v>69</v>
      </c>
      <c r="E84" s="32">
        <v>39.299999999999997</v>
      </c>
      <c r="F84" s="32" t="s">
        <v>69</v>
      </c>
      <c r="G84" s="32">
        <v>23</v>
      </c>
      <c r="H84" s="32">
        <v>96</v>
      </c>
      <c r="I84" s="32">
        <f t="shared" si="12"/>
        <v>2.6032320000000002</v>
      </c>
      <c r="J84" s="32">
        <f t="shared" si="13"/>
        <v>0.17760000000000004</v>
      </c>
      <c r="K84" s="33">
        <v>1.2</v>
      </c>
      <c r="L84" s="33">
        <v>1.85</v>
      </c>
    </row>
    <row r="85" spans="1:14" ht="20.5">
      <c r="A85" s="34" t="s">
        <v>80</v>
      </c>
      <c r="B85" s="32" t="s">
        <v>83</v>
      </c>
      <c r="C85" s="32">
        <v>40</v>
      </c>
      <c r="D85" s="32" t="s">
        <v>69</v>
      </c>
      <c r="E85" s="32">
        <v>60</v>
      </c>
      <c r="F85" s="32" t="s">
        <v>69</v>
      </c>
      <c r="G85" s="32">
        <v>15</v>
      </c>
      <c r="H85" s="32">
        <v>200</v>
      </c>
      <c r="I85" s="32">
        <f t="shared" si="12"/>
        <v>7.2</v>
      </c>
      <c r="J85" s="32">
        <f t="shared" si="13"/>
        <v>4.1399999999999997</v>
      </c>
      <c r="K85" s="33">
        <v>20</v>
      </c>
      <c r="L85" s="33">
        <v>20.7</v>
      </c>
    </row>
    <row r="86" spans="1:14" ht="20.5">
      <c r="A86" s="34" t="s">
        <v>80</v>
      </c>
      <c r="B86" s="32" t="s">
        <v>82</v>
      </c>
      <c r="C86" s="32">
        <v>35</v>
      </c>
      <c r="D86" s="32" t="s">
        <v>69</v>
      </c>
      <c r="E86" s="32">
        <v>54</v>
      </c>
      <c r="F86" s="32" t="s">
        <v>69</v>
      </c>
      <c r="G86" s="32">
        <v>8</v>
      </c>
      <c r="H86" s="32"/>
      <c r="I86" s="32">
        <f t="shared" si="12"/>
        <v>0</v>
      </c>
      <c r="J86" s="32">
        <f t="shared" si="13"/>
        <v>0</v>
      </c>
      <c r="K86" s="33">
        <v>10</v>
      </c>
      <c r="L86" s="33">
        <v>10.050000000000001</v>
      </c>
      <c r="M86" s="47"/>
    </row>
    <row r="87" spans="1:14" ht="20.5">
      <c r="A87" s="35" t="s">
        <v>77</v>
      </c>
      <c r="B87" s="32" t="s">
        <v>68</v>
      </c>
      <c r="C87" s="32">
        <v>38</v>
      </c>
      <c r="D87" s="32" t="s">
        <v>69</v>
      </c>
      <c r="E87" s="32">
        <v>47</v>
      </c>
      <c r="F87" s="32" t="s">
        <v>69</v>
      </c>
      <c r="G87" s="32">
        <v>12</v>
      </c>
      <c r="H87" s="32">
        <v>100</v>
      </c>
      <c r="I87" s="32">
        <f t="shared" si="12"/>
        <v>2.1432000000000002</v>
      </c>
      <c r="J87" s="32">
        <f t="shared" si="13"/>
        <v>2.0249999999999999</v>
      </c>
      <c r="K87" s="33">
        <v>20</v>
      </c>
      <c r="L87" s="33">
        <v>20.25</v>
      </c>
    </row>
    <row r="88" spans="1:14" ht="20.5">
      <c r="A88" s="34" t="s">
        <v>80</v>
      </c>
      <c r="B88" s="32" t="s">
        <v>81</v>
      </c>
      <c r="C88" s="32">
        <v>38</v>
      </c>
      <c r="D88" s="32" t="s">
        <v>69</v>
      </c>
      <c r="E88" s="32">
        <v>46</v>
      </c>
      <c r="F88" s="32" t="s">
        <v>69</v>
      </c>
      <c r="G88" s="32">
        <v>18</v>
      </c>
      <c r="H88" s="32">
        <v>100</v>
      </c>
      <c r="I88" s="32">
        <f t="shared" si="12"/>
        <v>3.1463999999999999</v>
      </c>
      <c r="J88" s="32">
        <f t="shared" si="13"/>
        <v>2.0499999999999998</v>
      </c>
      <c r="K88" s="33">
        <v>20</v>
      </c>
      <c r="L88" s="33">
        <v>20.5</v>
      </c>
      <c r="M88" s="47"/>
    </row>
    <row r="89" spans="1:14" ht="19.899999999999999" customHeight="1">
      <c r="A89" s="34" t="s">
        <v>72</v>
      </c>
      <c r="B89" s="32" t="s">
        <v>70</v>
      </c>
      <c r="C89" s="32">
        <v>48</v>
      </c>
      <c r="D89" s="32" t="s">
        <v>69</v>
      </c>
      <c r="E89" s="32">
        <v>51</v>
      </c>
      <c r="F89" s="32" t="s">
        <v>69</v>
      </c>
      <c r="G89" s="32">
        <v>40</v>
      </c>
      <c r="H89" s="32">
        <v>16</v>
      </c>
      <c r="I89" s="32">
        <f t="shared" si="12"/>
        <v>1.5667199999999999</v>
      </c>
      <c r="J89" s="32">
        <f t="shared" si="13"/>
        <v>0.17024</v>
      </c>
      <c r="K89" s="33">
        <v>10</v>
      </c>
      <c r="L89" s="33">
        <v>10.64</v>
      </c>
    </row>
    <row r="90" spans="1:14" ht="19.899999999999999" customHeight="1">
      <c r="A90" s="34" t="s">
        <v>72</v>
      </c>
      <c r="B90" s="32" t="s">
        <v>87</v>
      </c>
      <c r="C90" s="32">
        <v>37.5</v>
      </c>
      <c r="D90" s="32" t="s">
        <v>69</v>
      </c>
      <c r="E90" s="32">
        <v>63.5</v>
      </c>
      <c r="F90" s="32" t="s">
        <v>69</v>
      </c>
      <c r="G90" s="32">
        <v>18.5</v>
      </c>
      <c r="H90" s="32">
        <v>32</v>
      </c>
      <c r="I90" s="32">
        <f t="shared" si="12"/>
        <v>1.4097</v>
      </c>
      <c r="J90" s="32">
        <f t="shared" si="13"/>
        <v>0.33600000000000002</v>
      </c>
      <c r="K90" s="33">
        <v>9.6</v>
      </c>
      <c r="L90" s="33">
        <v>10.5</v>
      </c>
    </row>
    <row r="91" spans="1:14" ht="20.5">
      <c r="A91" s="34" t="s">
        <v>72</v>
      </c>
      <c r="B91" s="32" t="s">
        <v>71</v>
      </c>
      <c r="C91" s="32">
        <v>48</v>
      </c>
      <c r="D91" s="32" t="s">
        <v>69</v>
      </c>
      <c r="E91" s="32">
        <v>48</v>
      </c>
      <c r="F91" s="32" t="s">
        <v>69</v>
      </c>
      <c r="G91" s="32">
        <v>48</v>
      </c>
      <c r="H91" s="56">
        <v>16</v>
      </c>
      <c r="I91" s="32">
        <f t="shared" si="12"/>
        <v>1.7694719999999999</v>
      </c>
      <c r="J91" s="32">
        <f t="shared" si="13"/>
        <v>0.17024</v>
      </c>
      <c r="K91" s="33">
        <v>10</v>
      </c>
      <c r="L91" s="33">
        <v>10.64</v>
      </c>
    </row>
    <row r="92" spans="1:14" ht="21" thickBot="1">
      <c r="A92" s="79" t="s">
        <v>72</v>
      </c>
      <c r="B92" s="80" t="s">
        <v>73</v>
      </c>
      <c r="C92" s="80">
        <v>39.5</v>
      </c>
      <c r="D92" s="80" t="s">
        <v>69</v>
      </c>
      <c r="E92" s="80">
        <v>57</v>
      </c>
      <c r="F92" s="80" t="s">
        <v>69</v>
      </c>
      <c r="G92" s="80">
        <v>47</v>
      </c>
      <c r="H92" s="81"/>
      <c r="I92" s="80">
        <f t="shared" si="12"/>
        <v>0</v>
      </c>
      <c r="J92" s="80">
        <f t="shared" si="13"/>
        <v>0</v>
      </c>
      <c r="K92" s="82">
        <v>10</v>
      </c>
      <c r="L92" s="82">
        <v>10.64</v>
      </c>
    </row>
    <row r="93" spans="1:14" ht="21" thickBot="1">
      <c r="A93" s="86"/>
      <c r="B93" s="87"/>
      <c r="C93" s="87"/>
      <c r="D93" s="87"/>
      <c r="E93" s="87"/>
      <c r="F93" s="87"/>
      <c r="G93" s="87"/>
      <c r="H93" s="88">
        <f>SUM(H82:H92)</f>
        <v>800</v>
      </c>
      <c r="I93" s="87">
        <f>SUM(I82:I92)</f>
        <v>26.346804000000002</v>
      </c>
      <c r="J93" s="87">
        <f>SUM(J82:J92)</f>
        <v>9.5130800000000004</v>
      </c>
      <c r="K93" s="89"/>
      <c r="L93" s="90"/>
    </row>
    <row r="94" spans="1:14" ht="20.5">
      <c r="A94" s="78"/>
      <c r="B94" s="83"/>
      <c r="C94" s="83"/>
      <c r="D94" s="83"/>
      <c r="E94" s="83"/>
      <c r="F94" s="83"/>
      <c r="G94" s="83"/>
      <c r="H94" s="84"/>
      <c r="I94" s="83"/>
      <c r="J94" s="83"/>
      <c r="K94" s="85"/>
      <c r="L94" s="85"/>
    </row>
    <row r="95" spans="1:14" ht="21.5">
      <c r="B95" s="29" t="s">
        <v>62</v>
      </c>
      <c r="C95" s="149" t="s">
        <v>63</v>
      </c>
      <c r="D95" s="149"/>
      <c r="E95" s="149"/>
      <c r="F95" s="149"/>
      <c r="G95" s="149"/>
      <c r="H95" s="29" t="s">
        <v>64</v>
      </c>
      <c r="I95" s="29" t="s">
        <v>65</v>
      </c>
      <c r="J95" s="29" t="s">
        <v>19</v>
      </c>
      <c r="K95" s="30" t="s">
        <v>66</v>
      </c>
      <c r="L95" s="30" t="s">
        <v>67</v>
      </c>
      <c r="M95" s="74" t="s">
        <v>96</v>
      </c>
      <c r="N95" s="31"/>
    </row>
    <row r="96" spans="1:14" ht="20.5">
      <c r="A96" s="34" t="s">
        <v>74</v>
      </c>
      <c r="B96" s="32" t="s">
        <v>75</v>
      </c>
      <c r="C96" s="32">
        <v>30</v>
      </c>
      <c r="D96" s="32" t="s">
        <v>69</v>
      </c>
      <c r="E96" s="32">
        <v>39.299999999999997</v>
      </c>
      <c r="F96" s="32" t="s">
        <v>69</v>
      </c>
      <c r="G96" s="32">
        <v>23</v>
      </c>
      <c r="H96" s="32">
        <v>336</v>
      </c>
      <c r="I96" s="32">
        <f t="shared" ref="I96:I106" si="14">C96*E96*G96*H96/1000000</f>
        <v>9.1113119999999999</v>
      </c>
      <c r="J96" s="32">
        <f t="shared" ref="J96:J106" si="15">H96*L96/1000</f>
        <v>0.62160000000000004</v>
      </c>
      <c r="K96" s="33">
        <v>1.2</v>
      </c>
      <c r="L96" s="33">
        <v>1.85</v>
      </c>
    </row>
    <row r="97" spans="1:14" ht="20.5">
      <c r="A97" s="34" t="s">
        <v>85</v>
      </c>
      <c r="B97" s="32" t="s">
        <v>75</v>
      </c>
      <c r="C97" s="32">
        <v>30</v>
      </c>
      <c r="D97" s="32" t="s">
        <v>69</v>
      </c>
      <c r="E97" s="32">
        <v>39.299999999999997</v>
      </c>
      <c r="F97" s="32" t="s">
        <v>69</v>
      </c>
      <c r="G97" s="32">
        <v>23</v>
      </c>
      <c r="H97" s="32">
        <v>48</v>
      </c>
      <c r="I97" s="32">
        <f t="shared" si="14"/>
        <v>1.3016160000000001</v>
      </c>
      <c r="J97" s="32">
        <f t="shared" si="15"/>
        <v>8.8800000000000018E-2</v>
      </c>
      <c r="K97" s="33">
        <v>1.2</v>
      </c>
      <c r="L97" s="33">
        <v>1.85</v>
      </c>
    </row>
    <row r="98" spans="1:14" ht="20.5">
      <c r="A98" s="34" t="s">
        <v>76</v>
      </c>
      <c r="B98" s="32" t="s">
        <v>75</v>
      </c>
      <c r="C98" s="32">
        <v>30</v>
      </c>
      <c r="D98" s="32" t="s">
        <v>69</v>
      </c>
      <c r="E98" s="32">
        <v>39.299999999999997</v>
      </c>
      <c r="F98" s="32" t="s">
        <v>69</v>
      </c>
      <c r="G98" s="32">
        <v>23</v>
      </c>
      <c r="H98" s="32">
        <v>144</v>
      </c>
      <c r="I98" s="32">
        <f t="shared" si="14"/>
        <v>3.9048479999999999</v>
      </c>
      <c r="J98" s="32">
        <f t="shared" si="15"/>
        <v>0.26640000000000003</v>
      </c>
      <c r="K98" s="33">
        <v>1.2</v>
      </c>
      <c r="L98" s="33">
        <v>1.85</v>
      </c>
    </row>
    <row r="99" spans="1:14" ht="20.5">
      <c r="A99" s="34" t="s">
        <v>80</v>
      </c>
      <c r="B99" s="32" t="s">
        <v>83</v>
      </c>
      <c r="C99" s="32">
        <v>40</v>
      </c>
      <c r="D99" s="32" t="s">
        <v>69</v>
      </c>
      <c r="E99" s="32">
        <v>60</v>
      </c>
      <c r="F99" s="32" t="s">
        <v>69</v>
      </c>
      <c r="G99" s="32">
        <v>15</v>
      </c>
      <c r="H99" s="32">
        <v>50</v>
      </c>
      <c r="I99" s="32">
        <f t="shared" si="14"/>
        <v>1.8</v>
      </c>
      <c r="J99" s="32">
        <f t="shared" si="15"/>
        <v>1.0349999999999999</v>
      </c>
      <c r="K99" s="33">
        <v>20</v>
      </c>
      <c r="L99" s="33">
        <v>20.7</v>
      </c>
    </row>
    <row r="100" spans="1:14" ht="20.5">
      <c r="A100" s="34" t="s">
        <v>80</v>
      </c>
      <c r="B100" s="32" t="s">
        <v>82</v>
      </c>
      <c r="C100" s="32">
        <v>35</v>
      </c>
      <c r="D100" s="32" t="s">
        <v>69</v>
      </c>
      <c r="E100" s="32">
        <v>54</v>
      </c>
      <c r="F100" s="32" t="s">
        <v>69</v>
      </c>
      <c r="G100" s="32">
        <v>8</v>
      </c>
      <c r="H100" s="32">
        <v>98</v>
      </c>
      <c r="I100" s="32">
        <f t="shared" si="14"/>
        <v>1.48176</v>
      </c>
      <c r="J100" s="32">
        <f t="shared" si="15"/>
        <v>0.98490000000000011</v>
      </c>
      <c r="K100" s="33">
        <v>10</v>
      </c>
      <c r="L100" s="33">
        <v>10.050000000000001</v>
      </c>
      <c r="M100" s="47"/>
    </row>
    <row r="101" spans="1:14" ht="20.5">
      <c r="A101" s="35" t="s">
        <v>77</v>
      </c>
      <c r="B101" s="32" t="s">
        <v>68</v>
      </c>
      <c r="C101" s="32">
        <v>38</v>
      </c>
      <c r="D101" s="32" t="s">
        <v>69</v>
      </c>
      <c r="E101" s="32">
        <v>47</v>
      </c>
      <c r="F101" s="32" t="s">
        <v>69</v>
      </c>
      <c r="G101" s="32">
        <v>12</v>
      </c>
      <c r="H101" s="32">
        <v>150</v>
      </c>
      <c r="I101" s="32">
        <f t="shared" si="14"/>
        <v>3.2147999999999999</v>
      </c>
      <c r="J101" s="32">
        <f t="shared" si="15"/>
        <v>3.0375000000000001</v>
      </c>
      <c r="K101" s="33">
        <v>20</v>
      </c>
      <c r="L101" s="33">
        <v>20.25</v>
      </c>
    </row>
    <row r="102" spans="1:14" ht="20.5">
      <c r="A102" s="34" t="s">
        <v>80</v>
      </c>
      <c r="B102" s="32" t="s">
        <v>81</v>
      </c>
      <c r="C102" s="32">
        <v>38</v>
      </c>
      <c r="D102" s="32" t="s">
        <v>69</v>
      </c>
      <c r="E102" s="32">
        <v>46</v>
      </c>
      <c r="F102" s="32" t="s">
        <v>69</v>
      </c>
      <c r="G102" s="32">
        <v>18</v>
      </c>
      <c r="H102" s="32">
        <v>150</v>
      </c>
      <c r="I102" s="32">
        <f t="shared" si="14"/>
        <v>4.7195999999999998</v>
      </c>
      <c r="J102" s="32">
        <f t="shared" si="15"/>
        <v>3.0750000000000002</v>
      </c>
      <c r="K102" s="33">
        <v>20</v>
      </c>
      <c r="L102" s="33">
        <v>20.5</v>
      </c>
      <c r="M102" s="47"/>
    </row>
    <row r="103" spans="1:14" ht="19.899999999999999" customHeight="1">
      <c r="A103" s="34" t="s">
        <v>72</v>
      </c>
      <c r="B103" s="32" t="s">
        <v>70</v>
      </c>
      <c r="C103" s="32">
        <v>48</v>
      </c>
      <c r="D103" s="32" t="s">
        <v>69</v>
      </c>
      <c r="E103" s="32">
        <v>51</v>
      </c>
      <c r="F103" s="32" t="s">
        <v>69</v>
      </c>
      <c r="G103" s="32">
        <v>40</v>
      </c>
      <c r="H103" s="32">
        <v>48</v>
      </c>
      <c r="I103" s="32">
        <f t="shared" si="14"/>
        <v>4.7001600000000003</v>
      </c>
      <c r="J103" s="32">
        <f t="shared" si="15"/>
        <v>0.51072000000000006</v>
      </c>
      <c r="K103" s="33">
        <v>10</v>
      </c>
      <c r="L103" s="33">
        <v>10.64</v>
      </c>
    </row>
    <row r="104" spans="1:14" ht="19.899999999999999" customHeight="1">
      <c r="A104" s="34" t="s">
        <v>72</v>
      </c>
      <c r="B104" s="32" t="s">
        <v>87</v>
      </c>
      <c r="C104" s="32">
        <v>37.5</v>
      </c>
      <c r="D104" s="32" t="s">
        <v>69</v>
      </c>
      <c r="E104" s="32">
        <v>63.5</v>
      </c>
      <c r="F104" s="32" t="s">
        <v>69</v>
      </c>
      <c r="G104" s="32">
        <v>18.5</v>
      </c>
      <c r="H104" s="32"/>
      <c r="I104" s="32">
        <f t="shared" si="14"/>
        <v>0</v>
      </c>
      <c r="J104" s="32">
        <f t="shared" si="15"/>
        <v>0</v>
      </c>
      <c r="K104" s="33">
        <v>9.6</v>
      </c>
      <c r="L104" s="33">
        <v>10.5</v>
      </c>
    </row>
    <row r="105" spans="1:14" ht="20.5">
      <c r="A105" s="34" t="s">
        <v>72</v>
      </c>
      <c r="B105" s="32" t="s">
        <v>71</v>
      </c>
      <c r="C105" s="32">
        <v>48</v>
      </c>
      <c r="D105" s="32" t="s">
        <v>69</v>
      </c>
      <c r="E105" s="32">
        <v>48</v>
      </c>
      <c r="F105" s="32" t="s">
        <v>69</v>
      </c>
      <c r="G105" s="32">
        <v>48</v>
      </c>
      <c r="H105" s="56"/>
      <c r="I105" s="32">
        <f t="shared" si="14"/>
        <v>0</v>
      </c>
      <c r="J105" s="32">
        <f t="shared" si="15"/>
        <v>0</v>
      </c>
      <c r="K105" s="33">
        <v>10</v>
      </c>
      <c r="L105" s="33">
        <v>10.64</v>
      </c>
    </row>
    <row r="106" spans="1:14" ht="20.5">
      <c r="A106" s="34" t="s">
        <v>72</v>
      </c>
      <c r="B106" s="32" t="s">
        <v>73</v>
      </c>
      <c r="C106" s="32">
        <v>39.5</v>
      </c>
      <c r="D106" s="32" t="s">
        <v>69</v>
      </c>
      <c r="E106" s="32">
        <v>57</v>
      </c>
      <c r="F106" s="32" t="s">
        <v>69</v>
      </c>
      <c r="G106" s="32">
        <v>47</v>
      </c>
      <c r="H106" s="56"/>
      <c r="I106" s="32">
        <f t="shared" si="14"/>
        <v>0</v>
      </c>
      <c r="J106" s="32">
        <f t="shared" si="15"/>
        <v>0</v>
      </c>
      <c r="K106" s="33">
        <v>10</v>
      </c>
      <c r="L106" s="33">
        <v>10.64</v>
      </c>
    </row>
    <row r="107" spans="1:14">
      <c r="H107">
        <f>SUM(H96:H106)</f>
        <v>1024</v>
      </c>
      <c r="I107">
        <f>SUM(I96:I106)</f>
        <v>30.234096000000001</v>
      </c>
      <c r="J107">
        <f>SUM(J96:J106)</f>
        <v>9.6199200000000005</v>
      </c>
    </row>
    <row r="109" spans="1:14" ht="21.5">
      <c r="B109" s="29" t="s">
        <v>62</v>
      </c>
      <c r="C109" s="149" t="s">
        <v>63</v>
      </c>
      <c r="D109" s="149"/>
      <c r="E109" s="149"/>
      <c r="F109" s="149"/>
      <c r="G109" s="149"/>
      <c r="H109" s="29" t="s">
        <v>64</v>
      </c>
      <c r="I109" s="29" t="s">
        <v>65</v>
      </c>
      <c r="J109" s="29" t="s">
        <v>19</v>
      </c>
      <c r="K109" s="30" t="s">
        <v>66</v>
      </c>
      <c r="L109" s="30" t="s">
        <v>67</v>
      </c>
      <c r="M109" s="73" t="s">
        <v>95</v>
      </c>
      <c r="N109" s="31"/>
    </row>
    <row r="110" spans="1:14" ht="20.5">
      <c r="A110" s="34" t="s">
        <v>74</v>
      </c>
      <c r="B110" s="32" t="s">
        <v>75</v>
      </c>
      <c r="C110" s="32">
        <v>30</v>
      </c>
      <c r="D110" s="32" t="s">
        <v>69</v>
      </c>
      <c r="E110" s="32">
        <v>39.299999999999997</v>
      </c>
      <c r="F110" s="32" t="s">
        <v>69</v>
      </c>
      <c r="G110" s="32">
        <v>23</v>
      </c>
      <c r="H110" s="56">
        <v>144</v>
      </c>
      <c r="I110" s="32">
        <f t="shared" ref="I110:I117" si="16">C110*E110*G110*H110/1000000</f>
        <v>3.9048479999999999</v>
      </c>
      <c r="J110" s="32">
        <f t="shared" ref="J110:J120" si="17">H110*L110/1000</f>
        <v>0.26640000000000003</v>
      </c>
      <c r="K110" s="33">
        <v>1.2</v>
      </c>
      <c r="L110" s="33">
        <v>1.85</v>
      </c>
    </row>
    <row r="111" spans="1:14" ht="20.5">
      <c r="A111" s="34" t="s">
        <v>85</v>
      </c>
      <c r="B111" s="32" t="s">
        <v>75</v>
      </c>
      <c r="C111" s="32">
        <v>30</v>
      </c>
      <c r="D111" s="32" t="s">
        <v>69</v>
      </c>
      <c r="E111" s="32">
        <v>39.299999999999997</v>
      </c>
      <c r="F111" s="32" t="s">
        <v>69</v>
      </c>
      <c r="G111" s="32">
        <v>23</v>
      </c>
      <c r="H111" s="56">
        <v>144</v>
      </c>
      <c r="I111" s="32">
        <f t="shared" si="16"/>
        <v>3.9048479999999999</v>
      </c>
      <c r="J111" s="32">
        <f t="shared" si="17"/>
        <v>0.26640000000000003</v>
      </c>
      <c r="K111" s="33">
        <v>1.2</v>
      </c>
      <c r="L111" s="33">
        <v>1.85</v>
      </c>
    </row>
    <row r="112" spans="1:14" ht="20.5">
      <c r="A112" s="34" t="s">
        <v>76</v>
      </c>
      <c r="B112" s="32" t="s">
        <v>75</v>
      </c>
      <c r="C112" s="32">
        <v>30</v>
      </c>
      <c r="D112" s="32" t="s">
        <v>69</v>
      </c>
      <c r="E112" s="32">
        <v>39.299999999999997</v>
      </c>
      <c r="F112" s="32" t="s">
        <v>69</v>
      </c>
      <c r="G112" s="32">
        <v>23</v>
      </c>
      <c r="H112" s="56">
        <v>144</v>
      </c>
      <c r="I112" s="32">
        <f>C112*E112*G112*H112/1000000</f>
        <v>3.9048479999999999</v>
      </c>
      <c r="J112" s="32">
        <f>H112*L112/1000</f>
        <v>0.26640000000000003</v>
      </c>
      <c r="K112" s="33">
        <v>1.2</v>
      </c>
      <c r="L112" s="33">
        <v>1.85</v>
      </c>
    </row>
    <row r="113" spans="1:13" ht="20.5">
      <c r="A113" s="34" t="s">
        <v>80</v>
      </c>
      <c r="B113" s="32" t="s">
        <v>83</v>
      </c>
      <c r="C113" s="32">
        <v>40</v>
      </c>
      <c r="D113" s="32" t="s">
        <v>69</v>
      </c>
      <c r="E113" s="32">
        <v>60</v>
      </c>
      <c r="F113" s="32" t="s">
        <v>69</v>
      </c>
      <c r="G113" s="32">
        <v>15</v>
      </c>
      <c r="H113" s="29">
        <v>250</v>
      </c>
      <c r="I113" s="32">
        <f>C113*E113*G113*H113/1000000</f>
        <v>9</v>
      </c>
      <c r="J113" s="32">
        <f>H113*L113/1000</f>
        <v>5.1749999999999998</v>
      </c>
      <c r="K113" s="33">
        <v>20</v>
      </c>
      <c r="L113" s="33">
        <v>20.7</v>
      </c>
    </row>
    <row r="114" spans="1:13" ht="20.5" hidden="1">
      <c r="A114" s="34" t="s">
        <v>80</v>
      </c>
      <c r="B114" s="32" t="s">
        <v>82</v>
      </c>
      <c r="C114" s="32">
        <v>35</v>
      </c>
      <c r="D114" s="32" t="s">
        <v>69</v>
      </c>
      <c r="E114" s="32">
        <v>54</v>
      </c>
      <c r="F114" s="32" t="s">
        <v>69</v>
      </c>
      <c r="G114" s="32">
        <v>8</v>
      </c>
      <c r="H114" s="56"/>
      <c r="I114" s="32">
        <f t="shared" si="16"/>
        <v>0</v>
      </c>
      <c r="J114" s="32">
        <f t="shared" si="17"/>
        <v>0</v>
      </c>
      <c r="K114" s="33">
        <v>10</v>
      </c>
      <c r="L114" s="33">
        <v>10.050000000000001</v>
      </c>
      <c r="M114" s="47"/>
    </row>
    <row r="115" spans="1:13" ht="20.5">
      <c r="A115" s="35" t="s">
        <v>77</v>
      </c>
      <c r="B115" s="32" t="s">
        <v>68</v>
      </c>
      <c r="C115" s="32">
        <v>38</v>
      </c>
      <c r="D115" s="32" t="s">
        <v>69</v>
      </c>
      <c r="E115" s="32">
        <v>47</v>
      </c>
      <c r="F115" s="32" t="s">
        <v>69</v>
      </c>
      <c r="G115" s="32">
        <v>12</v>
      </c>
      <c r="H115" s="56">
        <v>100</v>
      </c>
      <c r="I115" s="32">
        <f t="shared" si="16"/>
        <v>2.1432000000000002</v>
      </c>
      <c r="J115" s="32">
        <f t="shared" si="17"/>
        <v>2.0249999999999999</v>
      </c>
      <c r="K115" s="33">
        <v>20</v>
      </c>
      <c r="L115" s="33">
        <v>20.25</v>
      </c>
    </row>
    <row r="116" spans="1:13" ht="20.5">
      <c r="A116" s="34" t="s">
        <v>80</v>
      </c>
      <c r="B116" s="32" t="s">
        <v>81</v>
      </c>
      <c r="C116" s="32">
        <v>38</v>
      </c>
      <c r="D116" s="32" t="s">
        <v>69</v>
      </c>
      <c r="E116" s="32">
        <v>46</v>
      </c>
      <c r="F116" s="32" t="s">
        <v>69</v>
      </c>
      <c r="G116" s="32">
        <v>18</v>
      </c>
      <c r="H116" s="29">
        <v>120</v>
      </c>
      <c r="I116" s="32">
        <f t="shared" si="16"/>
        <v>3.7756799999999999</v>
      </c>
      <c r="J116" s="32">
        <f t="shared" si="17"/>
        <v>2.46</v>
      </c>
      <c r="K116" s="33">
        <v>20</v>
      </c>
      <c r="L116" s="33">
        <v>20.5</v>
      </c>
      <c r="M116" s="47"/>
    </row>
    <row r="117" spans="1:13" ht="19.899999999999999" customHeight="1">
      <c r="A117" s="34" t="s">
        <v>72</v>
      </c>
      <c r="B117" s="32" t="s">
        <v>70</v>
      </c>
      <c r="C117" s="32">
        <v>48</v>
      </c>
      <c r="D117" s="32" t="s">
        <v>69</v>
      </c>
      <c r="E117" s="32">
        <v>51</v>
      </c>
      <c r="F117" s="32" t="s">
        <v>69</v>
      </c>
      <c r="G117" s="32">
        <v>40</v>
      </c>
      <c r="H117" s="56">
        <v>16</v>
      </c>
      <c r="I117" s="32">
        <f t="shared" si="16"/>
        <v>1.5667199999999999</v>
      </c>
      <c r="J117" s="32">
        <f t="shared" si="17"/>
        <v>0.17024</v>
      </c>
      <c r="K117" s="33">
        <v>10</v>
      </c>
      <c r="L117" s="33">
        <v>10.64</v>
      </c>
    </row>
    <row r="118" spans="1:13" ht="19.899999999999999" customHeight="1">
      <c r="A118" s="34" t="s">
        <v>72</v>
      </c>
      <c r="B118" s="32" t="s">
        <v>87</v>
      </c>
      <c r="C118" s="32">
        <v>37.5</v>
      </c>
      <c r="D118" s="32" t="s">
        <v>69</v>
      </c>
      <c r="E118" s="32">
        <v>63.5</v>
      </c>
      <c r="F118" s="32" t="s">
        <v>69</v>
      </c>
      <c r="G118" s="32">
        <v>18.5</v>
      </c>
      <c r="H118" s="56">
        <v>32</v>
      </c>
      <c r="I118" s="32">
        <f>C118*E118*G118*H118/1000000</f>
        <v>1.4097</v>
      </c>
      <c r="J118" s="32">
        <f>H118*L118/1000</f>
        <v>0.33600000000000002</v>
      </c>
      <c r="K118" s="33">
        <v>9.6</v>
      </c>
      <c r="L118" s="33">
        <v>10.5</v>
      </c>
    </row>
    <row r="119" spans="1:13" ht="20.5" hidden="1">
      <c r="A119" s="34" t="s">
        <v>72</v>
      </c>
      <c r="B119" s="32" t="s">
        <v>71</v>
      </c>
      <c r="C119" s="32">
        <v>48</v>
      </c>
      <c r="D119" s="32" t="s">
        <v>69</v>
      </c>
      <c r="E119" s="32">
        <v>48</v>
      </c>
      <c r="F119" s="32" t="s">
        <v>69</v>
      </c>
      <c r="G119" s="32">
        <v>48</v>
      </c>
      <c r="H119" s="56"/>
      <c r="I119" s="32">
        <f>C119*E119*G119*H119/1000000</f>
        <v>0</v>
      </c>
      <c r="J119" s="32">
        <f t="shared" si="17"/>
        <v>0</v>
      </c>
      <c r="K119" s="33">
        <v>10</v>
      </c>
      <c r="L119" s="33">
        <v>10.64</v>
      </c>
    </row>
    <row r="120" spans="1:13" ht="20.5" hidden="1">
      <c r="A120" s="34" t="s">
        <v>72</v>
      </c>
      <c r="B120" s="32" t="s">
        <v>73</v>
      </c>
      <c r="C120" s="32">
        <v>39.5</v>
      </c>
      <c r="D120" s="32" t="s">
        <v>69</v>
      </c>
      <c r="E120" s="32">
        <v>57</v>
      </c>
      <c r="F120" s="32" t="s">
        <v>69</v>
      </c>
      <c r="G120" s="32">
        <v>47</v>
      </c>
      <c r="H120" s="56"/>
      <c r="I120" s="32">
        <f>C120*E120*G120*H120/1000000</f>
        <v>0</v>
      </c>
      <c r="J120" s="32">
        <f t="shared" si="17"/>
        <v>0</v>
      </c>
      <c r="K120" s="33">
        <v>10</v>
      </c>
      <c r="L120" s="33">
        <v>10.64</v>
      </c>
    </row>
    <row r="121" spans="1:13">
      <c r="H121">
        <f>SUM(H110:H120)</f>
        <v>950</v>
      </c>
      <c r="I121">
        <f>SUM(I110:I120)</f>
        <v>29.609844000000002</v>
      </c>
      <c r="J121">
        <f>SUM(J110:J120)</f>
        <v>10.965439999999999</v>
      </c>
    </row>
  </sheetData>
  <mergeCells count="9">
    <mergeCell ref="C1:G1"/>
    <mergeCell ref="C15:G15"/>
    <mergeCell ref="C28:G28"/>
    <mergeCell ref="C41:G41"/>
    <mergeCell ref="C109:G109"/>
    <mergeCell ref="C95:G95"/>
    <mergeCell ref="C81:G81"/>
    <mergeCell ref="C68:G68"/>
    <mergeCell ref="C55:G55"/>
  </mergeCells>
  <pageMargins left="0.7" right="0.7" top="0.75" bottom="0.75" header="0.3" footer="0.3"/>
  <pageSetup paperSize="9" scale="31" fitToHeight="0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EX004-2026</vt:lpstr>
      <vt:lpstr>cbm</vt:lpstr>
      <vt:lpstr>'EX004-2026'!Print_Area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GEN-X_Thanicha Jaruprakart</dc:creator>
  <cp:lastModifiedBy>Kris Tangpiroonthum</cp:lastModifiedBy>
  <cp:lastPrinted>2026-04-21T04:22:10Z</cp:lastPrinted>
  <dcterms:created xsi:type="dcterms:W3CDTF">2021-09-21T04:35:42Z</dcterms:created>
  <dcterms:modified xsi:type="dcterms:W3CDTF">2026-04-24T10:43:29Z</dcterms:modified>
</cp:coreProperties>
</file>